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40" yWindow="15" windowWidth="16095" windowHeight="9660" tabRatio="600" firstSheet="0" activeTab="0" autoFilterDateGrouping="1"/>
  </bookViews>
  <sheets>
    <sheet xmlns:r="http://schemas.openxmlformats.org/officeDocument/2006/relationships" name="Read first" sheetId="1" state="visible" r:id="rId1"/>
    <sheet xmlns:r="http://schemas.openxmlformats.org/officeDocument/2006/relationships" name="Current evidence" sheetId="2" state="visible" r:id="rId2"/>
    <sheet xmlns:r="http://schemas.openxmlformats.org/officeDocument/2006/relationships" name="Backlog" sheetId="3" state="visible" r:id="rId3"/>
    <sheet xmlns:r="http://schemas.openxmlformats.org/officeDocument/2006/relationships" name="Phases" sheetId="4" state="visible" r:id="rId4"/>
    <sheet xmlns:r="http://schemas.openxmlformats.org/officeDocument/2006/relationships" name="Ad placement" sheetId="5" state="visible" r:id="rId5"/>
    <sheet xmlns:r="http://schemas.openxmlformats.org/officeDocument/2006/relationships" name="Metrics" sheetId="6" state="visible" r:id="rId6"/>
    <sheet xmlns:r="http://schemas.openxmlformats.org/officeDocument/2006/relationships" name="Sources" sheetId="7" state="visible" r:id="rId7"/>
    <sheet xmlns:r="http://schemas.openxmlformats.org/officeDocument/2006/relationships" name="Economics" sheetId="8" state="visible" r:id="rId8"/>
    <sheet xmlns:r="http://schemas.openxmlformats.org/officeDocument/2006/relationships" name="Batch 10" sheetId="9" state="visible" r:id="rId9"/>
  </sheets>
  <definedNames>
    <definedName name="_xlnm._FilterDatabase" localSheetId="0" hidden="1">'Read first'!$A$1:$B$7</definedName>
    <definedName name="_xlnm.Print_Titles" localSheetId="0">'Read first'!$1:$1</definedName>
    <definedName name="_xlnm.Print_Titles" localSheetId="1">'Current evidence'!$1:$1</definedName>
    <definedName name="_xlnm._FilterDatabase" localSheetId="2" hidden="1">'Backlog'!$A$1:$P$43</definedName>
    <definedName name="_xlnm.Print_Titles" localSheetId="2">'Backlog'!$1:$1</definedName>
    <definedName name="_xlnm._FilterDatabase" localSheetId="3" hidden="1">'Phases'!$A$1:$E$7</definedName>
    <definedName name="_xlnm._FilterDatabase" localSheetId="4" hidden="1">'Ad placement'!$A$1:$C$7</definedName>
    <definedName name="_xlnm._FilterDatabase" localSheetId="5" hidden="1">'Metrics'!$A$1:$C$10</definedName>
    <definedName name="_xlnm._FilterDatabase" localSheetId="6" hidden="1">'Sources'!$A$1:$B$21</definedName>
    <definedName name="_xlnm._FilterDatabase" localSheetId="8" hidden="1">'Batch 10'!$A$1:$F$11</definedName>
    <definedName name="_xlnm.Print_Titles" localSheetId="8">'Batch 10'!$1:$1</definedName>
  </definedNames>
  <calcPr calcId="124519" fullCalcOnLoad="1"/>
</workbook>
</file>

<file path=xl/styles.xml><?xml version="1.0" encoding="utf-8"?>
<styleSheet xmlns="http://schemas.openxmlformats.org/spreadsheetml/2006/main">
  <numFmts count="1">
    <numFmt numFmtId="164" formatCode="$0.00"/>
  </numFmts>
  <fonts count="5">
    <font>
      <name val="Calibri"/>
      <family val="2"/>
      <color theme="1"/>
      <sz val="11"/>
      <scheme val="minor"/>
    </font>
    <font>
      <name val="Calibri"/>
      <family val="2"/>
      <b val="1"/>
      <color rgb="FFFAF9F3"/>
      <sz val="11"/>
      <scheme val="minor"/>
    </font>
    <font>
      <name val="Calibri"/>
      <family val="2"/>
      <color rgb="FF225E8B"/>
      <sz val="11"/>
      <u val="single"/>
      <scheme val="minor"/>
    </font>
    <font>
      <name val="Calibri"/>
      <b val="1"/>
      <color rgb="00FFFFFF"/>
      <sz val="11"/>
    </font>
    <font>
      <name val="Calibri"/>
      <color rgb="00243649"/>
      <sz val="11"/>
    </font>
  </fonts>
  <fills count="6">
    <fill>
      <patternFill/>
    </fill>
    <fill>
      <patternFill patternType="gray125"/>
    </fill>
    <fill>
      <patternFill patternType="solid">
        <fgColor rgb="FF263D35"/>
        <bgColor indexed="64"/>
      </patternFill>
    </fill>
    <fill>
      <patternFill patternType="solid">
        <fgColor rgb="00243649"/>
      </patternFill>
    </fill>
    <fill>
      <patternFill patternType="solid">
        <fgColor rgb="00F0F5F9"/>
      </patternFill>
    </fill>
    <fill>
      <patternFill patternType="solid">
        <fgColor rgb="00FFFFFF"/>
      </patternFill>
    </fill>
  </fills>
  <borders count="1">
    <border>
      <left/>
      <right/>
      <top/>
      <bottom/>
      <diagonal/>
    </border>
  </borders>
  <cellStyleXfs count="1">
    <xf numFmtId="0" fontId="0" fillId="0" borderId="0"/>
  </cellStyleXfs>
  <cellXfs count="10">
    <xf numFmtId="0" fontId="0" fillId="0" borderId="0" pivotButton="0" quotePrefix="0" xfId="0"/>
    <xf numFmtId="0" fontId="0" fillId="0" borderId="0" applyAlignment="1" pivotButton="0" quotePrefix="0" xfId="0">
      <alignment vertical="top" wrapText="1"/>
    </xf>
    <xf numFmtId="0" fontId="1" fillId="2" borderId="0" applyAlignment="1" pivotButton="0" quotePrefix="0" xfId="0">
      <alignment vertical="top" wrapText="1"/>
    </xf>
    <xf numFmtId="0" fontId="2" fillId="0" borderId="0" applyAlignment="1" pivotButton="0" quotePrefix="0" xfId="0">
      <alignment vertical="top" wrapText="1"/>
    </xf>
    <xf numFmtId="164" fontId="0" fillId="0" borderId="0" pivotButton="0" quotePrefix="0" xfId="0"/>
    <xf numFmtId="3" fontId="0" fillId="0" borderId="0" pivotButton="0" quotePrefix="0" xfId="0"/>
    <xf numFmtId="0" fontId="3" fillId="3" borderId="0" applyAlignment="1" pivotButton="0" quotePrefix="0" xfId="0">
      <alignment vertical="center" wrapText="1"/>
    </xf>
    <xf numFmtId="0" fontId="4" fillId="4" borderId="0" applyAlignment="1" pivotButton="0" quotePrefix="0" xfId="0">
      <alignment vertical="top" wrapText="1"/>
    </xf>
    <xf numFmtId="0" fontId="4" fillId="5" borderId="0" applyAlignment="1" pivotButton="0" quotePrefix="0" xfId="0">
      <alignment vertical="top" wrapText="1"/>
    </xf>
    <xf numFmtId="3" fontId="0" fillId="0" borderId="0" pivotButton="0" quotePrefix="0" xfId="0"/>
  </cellXfs>
  <cellStyles count="1">
    <cellStyle name="Normal" xfId="0" builtinId="0"/>
  </cellStyles>
  <dxfs count="1">
    <dxf>
      <font>
        <color rgb="FF812F24"/>
      </font>
      <fill>
        <patternFill>
          <bgColor rgb="FFF9E4D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7.xml.rels><Relationships xmlns="http://schemas.openxmlformats.org/package/2006/relationships"><Relationship Type="http://schemas.openxmlformats.org/officeDocument/2006/relationships/hyperlink" Target="https://dramarecs-v2.vercel.app/" TargetMode="External" Id="rId1"/><Relationship Type="http://schemas.openxmlformats.org/officeDocument/2006/relationships/hyperlink" Target="https://dramarecs-v2.vercel.app/dramas-like/my-liberation-notes/" TargetMode="External" Id="rId2"/><Relationship Type="http://schemas.openxmlformats.org/officeDocument/2006/relationships/hyperlink" Target="https://dramarecs-v2.vercel.app/dramas/my-liberation-notes/" TargetMode="External" Id="rId3"/><Relationship Type="http://schemas.openxmlformats.org/officeDocument/2006/relationships/hyperlink" Target="https://dramarecs-v2.vercel.app/my-shelf/" TargetMode="External" Id="rId4"/><Relationship Type="http://schemas.openxmlformats.org/officeDocument/2006/relationships/hyperlink" Target="https://dramarecs-v2.vercel.app/collections/best-k-dramas-on-netflix/" TargetMode="External" Id="rId5"/><Relationship Type="http://schemas.openxmlformats.org/officeDocument/2006/relationships/hyperlink" Target="https://dramarecs-v2.vercel.app/how-we-pick/" TargetMode="External" Id="rId6"/><Relationship Type="http://schemas.openxmlformats.org/officeDocument/2006/relationships/hyperlink" Target="https://dramarecs-v2.vercel.app/privacy/" TargetMode="External" Id="rId7"/><Relationship Type="http://schemas.openxmlformats.org/officeDocument/2006/relationships/hyperlink" Target="https://www.netflix.com/title/81677629" TargetMode="External" Id="rId8"/><Relationship Type="http://schemas.openxmlformats.org/officeDocument/2006/relationships/hyperlink" Target="https://asianwiki.com/My_Liberation_Notes" TargetMode="External" Id="rId9"/><Relationship Type="http://schemas.openxmlformats.org/officeDocument/2006/relationships/hyperlink" Target="https://asianwiki.com/Something_in_the_Rain" TargetMode="External" Id="rId10"/><Relationship Type="http://schemas.openxmlformats.org/officeDocument/2006/relationships/hyperlink" Target="https://developer.themoviedb.org/docs/faq" TargetMode="External" Id="rId11"/><Relationship Type="http://schemas.openxmlformats.org/officeDocument/2006/relationships/hyperlink" Target="https://developer.themoviedb.org/reference/tv-season-watch-providers" TargetMode="External" Id="rId12"/><Relationship Type="http://schemas.openxmlformats.org/officeDocument/2006/relationships/hyperlink" Target="https://support.google.com/adsense/answer/10502938" TargetMode="External" Id="rId13"/><Relationship Type="http://schemas.openxmlformats.org/officeDocument/2006/relationships/hyperlink" Target="https://support.google.com/adsense/answer/1346295" TargetMode="External" Id="rId14"/><Relationship Type="http://schemas.openxmlformats.org/officeDocument/2006/relationships/hyperlink" Target="https://support.google.com/adsense/answer/13554116" TargetMode="External" Id="rId15"/><Relationship Type="http://schemas.openxmlformats.org/officeDocument/2006/relationships/hyperlink" Target="https://support.google.com/adsense/answer/7670013" TargetMode="External" Id="rId16"/><Relationship Type="http://schemas.openxmlformats.org/officeDocument/2006/relationships/hyperlink" Target="https://support.google.com/adsense/answer/9804260" TargetMode="External" Id="rId17"/><Relationship Type="http://schemas.openxmlformats.org/officeDocument/2006/relationships/hyperlink" Target="https://developers.google.com/search/docs/appearance/core-web-vitals" TargetMode="External" Id="rId18"/><Relationship Type="http://schemas.openxmlformats.org/officeDocument/2006/relationships/hyperlink" Target="https://developers.google.com/search/blog/2023/02/google-search-and-ai-content" TargetMode="External" Id="rId19"/><Relationship Type="http://schemas.openxmlformats.org/officeDocument/2006/relationships/hyperlink" Target="https://developers.google.com/search/blog/2024/03/core-update-spam-policies" TargetMode="External" Id="rId20"/></Relationships>
</file>

<file path=xl/worksheets/sheet1.xml><?xml version="1.0" encoding="utf-8"?>
<worksheet xmlns="http://schemas.openxmlformats.org/spreadsheetml/2006/main">
  <sheetPr>
    <outlinePr summaryBelow="1" summaryRight="1"/>
    <pageSetUpPr fitToPage="1"/>
  </sheetPr>
  <dimension ref="A1:B9"/>
  <sheetViews>
    <sheetView tabSelected="1" workbookViewId="0">
      <pane ySplit="1" topLeftCell="A2" activePane="bottomLeft" state="frozen"/>
      <selection pane="bottomLeft" activeCell="A1" sqref="A1"/>
    </sheetView>
  </sheetViews>
  <sheetFormatPr baseColWidth="8" defaultRowHeight="76" customHeight="1"/>
  <cols>
    <col width="25" customWidth="1" style="1" min="1" max="1"/>
    <col width="120" customWidth="1" style="1" min="2" max="2"/>
  </cols>
  <sheetData>
    <row r="1" ht="32" customHeight="1">
      <c r="A1" s="6" t="inlineStr">
        <is>
          <t>Topic</t>
        </is>
      </c>
      <c r="B1" s="6" t="inlineStr">
        <is>
          <t>Scope / decision</t>
        </is>
      </c>
    </row>
    <row r="2" ht="85" customHeight="1">
      <c r="A2" s="1" t="inlineStr">
        <is>
          <t>Baseline</t>
        </is>
      </c>
      <c r="B2" s="1" t="inlineStr">
        <is>
          <t>Current supplied ZIP: archive reference a21c723f5eb58c442a1cc12c81220ce0bf1d668a. Replacements generated and tested locally; nothing committed or deployed. Current MARQUEE design/fonts and TMDB repair preserved. Domain/commercial license remains owner-reported resolved, not reverified.</t>
        </is>
      </c>
    </row>
    <row r="3" ht="85" customHeight="1">
      <c r="A3" s="1" t="inlineStr">
        <is>
          <t>Fresh inventory</t>
        </is>
      </c>
      <c r="B3" s="1" t="inlineStr">
        <is>
          <t>219 dramas, 101 recommendation lists, 341 generated HTML files, 338 sitemap entries; 0 validator errors, 26 non-blocking reciprocal warnings. Supersedes historical 152-list/388-sitemap figures. Zero certified identity mappings; one dated episode source.</t>
        </is>
      </c>
    </row>
    <row r="4" ht="85" customHeight="1">
      <c r="A4" s="1" t="inlineStr">
        <is>
          <t>Evidence limits</t>
        </is>
      </c>
      <c r="B4" s="1" t="inlineStr">
        <is>
          <t>254 Node tests pass (184 retained + 70 new); full fixture release and 341-file smoke checks pass. User-reported Chromium run failed; repaired browser setup has no observed green rerun. No real-browser, live TMDB, full editorial, physical-device, private analytics or field-CWV verification.</t>
        </is>
      </c>
    </row>
    <row r="5" ht="85" customHeight="1">
      <c r="A5" s="1" t="inlineStr">
        <is>
          <t>Historical analytics</t>
        </is>
      </c>
      <c r="B5" s="1" t="inlineStr">
        <is>
          <t>Original analytics notes are historical, unverified claims, not new observations. No new source exports or denominator reconciliation. No inference of bots from city names.</t>
        </is>
      </c>
    </row>
    <row r="6" ht="85" customHeight="1">
      <c r="A6" s="1" t="inlineStr">
        <is>
          <t>Priorities</t>
        </is>
      </c>
      <c r="B6" s="1" t="inlineStr">
        <is>
          <t>Original P0/P1/P2 priorities and acceptance criteria retained. Status column now reflects current implementation for all 42 rows, not all Proposed and not all Complete. Ten repairs span several IDs. Disabled monetization is a safeguard, not completion of consent/advertising work.</t>
        </is>
      </c>
    </row>
    <row r="7" ht="85" customHeight="1">
      <c r="A7" s="1" t="inlineStr">
        <is>
          <t>Before implementation</t>
        </is>
      </c>
      <c r="B7" s="1" t="inlineStr">
        <is>
          <t>Upload only the supplied changed paths in one commit. Current evidence, Batch 10, Backlog remaining acceptance and upload guide govern this delivery. Rerun GitHub validation/browser job and separately inspect Vercel. Older findings, counts in evidence and planning narrative remain explicitly historical.</t>
        </is>
      </c>
    </row>
    <row r="8">
      <c r="A8" s="1" t="inlineStr">
        <is>
          <t>Updated</t>
        </is>
      </c>
      <c r="B8" s="1" t="inlineStr">
        <is>
          <t>2026-09-06 UTC. All 42 Backlog Status cells reconciled; original seven worksheets retained.</t>
        </is>
      </c>
    </row>
    <row r="9">
      <c r="A9" s="1" t="inlineStr">
        <is>
          <t>Historical findings</t>
        </is>
      </c>
      <c r="B9" s="1" t="inlineStr">
        <is>
          <t>Finding/Evidence columns preserve the original audit wording and counts for traceability. Current implementation, Verification evidence and Remaining acceptance columns are authoritative for this delivery.</t>
        </is>
      </c>
    </row>
  </sheetData>
  <autoFilter ref="A1:B7"/>
  <pageMargins left="0.7" right="0.7" top="0.75" bottom="0.75" header="0.3" footer="0.3"/>
  <pageSetup orientation="landscape" paperSize="8" fitToHeight="0" fitToWidth="1"/>
</worksheet>
</file>

<file path=xl/worksheets/sheet2.xml><?xml version="1.0" encoding="utf-8"?>
<worksheet xmlns="http://schemas.openxmlformats.org/spreadsheetml/2006/main">
  <sheetPr>
    <outlinePr summaryBelow="1" summaryRight="1"/>
    <pageSetUpPr fitToPage="1"/>
  </sheetPr>
  <dimension ref="A1:C12"/>
  <sheetViews>
    <sheetView workbookViewId="0">
      <pane ySplit="1" topLeftCell="A2" activePane="bottomLeft" state="frozen"/>
      <selection pane="bottomLeft" activeCell="A1" sqref="A1"/>
    </sheetView>
  </sheetViews>
  <sheetFormatPr baseColWidth="8" defaultRowHeight="15"/>
  <cols>
    <col width="24" customWidth="1" min="1" max="1"/>
    <col width="75" customWidth="1" min="2" max="2"/>
    <col width="90" customWidth="1" min="3" max="3"/>
  </cols>
  <sheetData>
    <row r="1" ht="32" customHeight="1">
      <c r="A1" s="6" t="inlineStr">
        <is>
          <t>Topic</t>
        </is>
      </c>
      <c r="B1" s="6" t="inlineStr">
        <is>
          <t>Current result</t>
        </is>
      </c>
      <c r="C1" s="6" t="inlineStr">
        <is>
          <t>Limit / next step</t>
        </is>
      </c>
    </row>
    <row r="2" ht="60" customHeight="1">
      <c r="A2" s="7" t="inlineStr">
        <is>
          <t>Approved scope</t>
        </is>
      </c>
      <c r="B2" s="7" t="inlineStr">
        <is>
          <t>Ten repairs implemented; all 42 backlog statuses refreshed</t>
        </is>
      </c>
      <c r="C2" s="7" t="inlineStr">
        <is>
          <t>Ten repair targets do not equal ten fully completed backlog acceptance criteria.</t>
        </is>
      </c>
    </row>
    <row r="3" ht="60" customHeight="1">
      <c r="A3" s="8" t="inlineStr">
        <is>
          <t>Node tests</t>
        </is>
      </c>
      <c r="B3" s="8" t="inlineStr">
        <is>
          <t>254 passed; 0 failed; 0 skipped</t>
        </is>
      </c>
      <c r="C3" s="8" t="inlineStr">
        <is>
          <t>184 retained and 70 added. New suite: 50 failures against baseline, 20 already passing guard cases.</t>
        </is>
      </c>
    </row>
    <row r="4" ht="60" customHeight="1">
      <c r="A4" s="7" t="inlineStr">
        <is>
          <t>Build checks</t>
        </is>
      </c>
      <c r="B4" s="7" t="inlineStr">
        <is>
          <t>Fixture release passed across 341 HTML files / 834 streaming rows</t>
        </is>
      </c>
      <c r="C4" s="7" t="inlineStr">
        <is>
          <t>Not a live production or visual browser pass.</t>
        </is>
      </c>
    </row>
    <row r="5" ht="60" customHeight="1">
      <c r="A5" s="8" t="inlineStr">
        <is>
          <t>Inventory</t>
        </is>
      </c>
      <c r="B5" s="8" t="inlineStr">
        <is>
          <t>219 dramas; 101 lists; 338 sitemap entries</t>
        </is>
      </c>
      <c r="C5" s="8" t="inlineStr">
        <is>
          <t>Source-derived counts, not verified live deployment.</t>
        </is>
      </c>
    </row>
    <row r="6" ht="60" customHeight="1">
      <c r="A6" s="7" t="inlineStr">
        <is>
          <t>Editorial warnings</t>
        </is>
      </c>
      <c r="B6" s="7" t="inlineStr">
        <is>
          <t>26 reciprocal recommendation warnings</t>
        </is>
      </c>
      <c r="C6" s="7" t="inlineStr">
        <is>
          <t>Non-blocking, not automatically rewritten or declared incorrect.</t>
        </is>
      </c>
    </row>
    <row r="7" ht="60" customHeight="1">
      <c r="A7" s="8" t="inlineStr">
        <is>
          <t>Browser CI</t>
        </is>
      </c>
      <c r="B7" s="8" t="inlineStr">
        <is>
          <t>Storage setup repaired; rerun pending</t>
        </is>
      </c>
      <c r="C7" s="8" t="inlineStr">
        <is>
          <t>User-reported Chromium job failed. No successful rerun observed.</t>
        </is>
      </c>
    </row>
    <row r="8" ht="60" customHeight="1">
      <c r="A8" s="7" t="inlineStr">
        <is>
          <t>External work</t>
        </is>
      </c>
      <c r="B8" s="7" t="inlineStr">
        <is>
          <t>Live TMDB, editorial, physical-device, consent and approvals pending</t>
        </is>
      </c>
      <c r="C8" s="7" t="inlineStr">
        <is>
          <t>No invented review/identity/ads-readiness completion.</t>
        </is>
      </c>
    </row>
    <row r="9" ht="60" customHeight="1">
      <c r="A9" s="8" t="inlineStr">
        <is>
          <t>Preservation</t>
        </is>
      </c>
      <c r="B9" s="8" t="inlineStr">
        <is>
          <t>Design, fonts, catalog data, TMDB repair, 95% poster floor unchanged</t>
        </is>
      </c>
      <c r="C9" s="8" t="inlineStr">
        <is>
          <t>Ads, analytics and affiliate tracking remain disabled.</t>
        </is>
      </c>
    </row>
    <row r="10" ht="60" customHeight="1">
      <c r="A10" s="7" t="inlineStr">
        <is>
          <t>Remote changes</t>
        </is>
      </c>
      <c r="B10" s="7" t="inlineStr">
        <is>
          <t>None</t>
        </is>
      </c>
      <c r="C10" s="7" t="inlineStr">
        <is>
          <t>No commit, deployment, comment or message sent.</t>
        </is>
      </c>
    </row>
    <row r="11" ht="60" customHeight="1">
      <c r="A11" s="8" t="inlineStr">
        <is>
          <t>Workbook</t>
        </is>
      </c>
      <c r="B11" s="8" t="inlineStr">
        <is>
          <t>42 of 42 Status cells updated; original seven sheets retained</t>
        </is>
      </c>
      <c r="C11" s="8" t="inlineStr">
        <is>
          <t>Original finding/evidence columns are historical. See remaining acceptance, not status alone.</t>
        </is>
      </c>
    </row>
    <row r="12" ht="60" customHeight="1">
      <c r="A12" s="7" t="inlineStr">
        <is>
          <t>Source fingerprint</t>
        </is>
      </c>
      <c r="B12" s="7" t="inlineStr">
        <is>
          <t>d936a5a1f0d8d8f6d5dc044a7e791bd5f65ad72ea0125c74d57cb0cecd25c9e9</t>
        </is>
      </c>
      <c r="C12" s="7" t="inlineStr">
        <is>
          <t>Source fingerprint excludes generated reporting files and is not remote commit verification.</t>
        </is>
      </c>
    </row>
  </sheetData>
  <pageMargins left="0.75" right="0.75" top="1" bottom="1" header="0.5" footer="0.5"/>
  <pageSetup orientation="landscape" paperSize="8" fitToHeight="0" fitToWidth="1"/>
</worksheet>
</file>

<file path=xl/worksheets/sheet3.xml><?xml version="1.0" encoding="utf-8"?>
<worksheet xmlns="http://schemas.openxmlformats.org/spreadsheetml/2006/main">
  <sheetPr>
    <outlinePr summaryBelow="1" summaryRight="1"/>
    <pageSetUpPr fitToPage="1"/>
  </sheetPr>
  <dimension ref="A1:P43"/>
  <sheetViews>
    <sheetView workbookViewId="0">
      <pane xSplit="3" ySplit="1" topLeftCell="D2" activePane="bottomRight" state="frozen"/>
      <selection pane="topRight"/>
      <selection pane="bottomLeft"/>
      <selection pane="bottomRight" activeCell="A1" sqref="A1"/>
    </sheetView>
  </sheetViews>
  <sheetFormatPr baseColWidth="8" defaultRowHeight="116" customHeight="1"/>
  <cols>
    <col width="10.7109375" customWidth="1" style="1" min="1" max="1"/>
    <col width="16.7109375" customWidth="1" style="1" min="2" max="2"/>
    <col width="18.7109375" customWidth="1" style="1" min="3" max="3"/>
    <col width="52" customWidth="1" style="1" min="4" max="4"/>
    <col width="52" customWidth="1" style="1" min="5" max="5"/>
    <col width="48.7109375" customWidth="1" style="1" min="6" max="6"/>
    <col width="52" customWidth="1" style="1" min="7" max="8"/>
    <col width="52" customWidth="1" min="8" max="8"/>
    <col width="12.7109375" customWidth="1" style="1" min="9" max="10"/>
    <col width="60" customWidth="1" style="1" min="11" max="11"/>
    <col width="60" customWidth="1" min="12" max="12"/>
    <col width="60" customWidth="1" min="13" max="13"/>
    <col width="60" customWidth="1" min="14" max="14"/>
    <col width="60" customWidth="1" min="15" max="15"/>
    <col width="20" customWidth="1" min="16" max="16"/>
  </cols>
  <sheetData>
    <row r="1" ht="32" customHeight="1">
      <c r="A1" s="6" t="inlineStr">
        <is>
          <t>ID</t>
        </is>
      </c>
      <c r="B1" s="6" t="inlineStr">
        <is>
          <t>Priority</t>
        </is>
      </c>
      <c r="C1" s="6" t="inlineStr">
        <is>
          <t>Area</t>
        </is>
      </c>
      <c r="D1" s="6" t="inlineStr">
        <is>
          <t>Finding (original audit)</t>
        </is>
      </c>
      <c r="E1" s="6" t="inlineStr">
        <is>
          <t>Evidence (original audit)</t>
        </is>
      </c>
      <c r="F1" s="6" t="inlineStr">
        <is>
          <t>Location</t>
        </is>
      </c>
      <c r="G1" s="6" t="inlineStr">
        <is>
          <t>Fix</t>
        </is>
      </c>
      <c r="H1" s="6" t="inlineStr">
        <is>
          <t>Acceptance</t>
        </is>
      </c>
      <c r="I1" s="6" t="inlineStr">
        <is>
          <t>Phase</t>
        </is>
      </c>
      <c r="J1" s="6" t="inlineStr">
        <is>
          <t>Size</t>
        </is>
      </c>
      <c r="K1" s="6" t="inlineStr">
        <is>
          <t>Status</t>
        </is>
      </c>
      <c r="L1" s="6" t="inlineStr">
        <is>
          <t>Current implementation</t>
        </is>
      </c>
      <c r="M1" s="6" t="inlineStr">
        <is>
          <t>Verification evidence</t>
        </is>
      </c>
      <c r="N1" s="6" t="inlineStr">
        <is>
          <t>Remaining acceptance / blockers</t>
        </is>
      </c>
      <c r="O1" s="6" t="inlineStr">
        <is>
          <t>Scope of this delivery</t>
        </is>
      </c>
      <c r="P1" s="6" t="inlineStr">
        <is>
          <t>Status updated (UTC)</t>
        </is>
      </c>
    </row>
    <row r="2" ht="140" customHeight="1">
      <c r="A2" s="1" t="inlineStr">
        <is>
          <t>DR-01</t>
        </is>
      </c>
      <c r="B2" s="1" t="inlineStr">
        <is>
          <t>P1</t>
        </is>
      </c>
      <c r="C2" s="1" t="inlineStr">
        <is>
          <t>Shelf</t>
        </is>
      </c>
      <c r="D2" s="1" t="inlineStr">
        <is>
          <t>Saved posters lose the intended grid</t>
        </is>
      </c>
      <c r="E2" s="1" t="inlineStr">
        <is>
          <t>Confirmed source; user-reported desktop symptom</t>
        </is>
      </c>
      <c r="F2" s="1" t="inlineStr">
        <is>
          <t>src/app.js: shelfmount; src/styles.css: .gridlist</t>
        </is>
      </c>
      <c r="G2" s="1" t="inlineStr">
        <is>
          <t>Use the same grid class for skeleton and populated states; constrain shelf item widths and preserve poster aspect ratio. Do not redesign the whole site.</t>
        </is>
      </c>
      <c r="H2" s="1" t="inlineStr">
        <is>
          <t>At 360, 390, 768, 1366 and 1440 CSS px, test 0/1/2/6/30 saved titles. Desktop posters stay within the chosen 160-200px target range; one item never stretches across the container; no horizontal page overflow.</t>
        </is>
      </c>
      <c r="I2" s="1" t="inlineStr">
        <is>
          <t>1</t>
        </is>
      </c>
      <c r="J2" s="1" t="inlineStr">
        <is>
          <t>S</t>
        </is>
      </c>
      <c r="K2" s="7" t="inlineStr">
        <is>
          <t>Shelf implementation retained; browser rerun pending</t>
        </is>
      </c>
      <c r="L2" s="7" t="inlineStr">
        <is>
          <t>Shelf geometry and CSS are unchanged. The browser smoke runner now checks 25 combinations of 360/390/768/1366/1440px and 0/1/2/6/30 titles using synthetic loaded poster images, including aspect ratio, width cap and mobile columns. Browser fixture now skips non-test origins without touching storage and exposes failures on the test origin.</t>
        </is>
      </c>
      <c r="M2" s="7" t="inlineStr">
        <is>
          <t>254 Node tests pass, including origin-scoped browser seeding regressions. Fixture structure checks pass across 341 HTML files. This is not a rendering pass.</t>
        </is>
      </c>
      <c r="N2" s="7" t="inlineStr">
        <is>
          <t>The user-reported Chromium run failed on localStorage access. Updated fixture setup is supplied, but a green Chromium rerun has not been observed. Physical devices, other browsers and screen readers remain pending.</t>
        </is>
      </c>
      <c r="O2" s="7" t="inlineStr">
        <is>
          <t>Implementation changed in this batch; see checked evidence.</t>
        </is>
      </c>
      <c r="P2" s="7" t="inlineStr">
        <is>
          <t>2026-09-06</t>
        </is>
      </c>
    </row>
    <row r="3" ht="140" customHeight="1">
      <c r="A3" s="1" t="inlineStr">
        <is>
          <t>DR-02</t>
        </is>
      </c>
      <c r="B3" s="1" t="inlineStr">
        <is>
          <t>P1</t>
        </is>
      </c>
      <c r="C3" s="1" t="inlineStr">
        <is>
          <t>Shelf</t>
        </is>
      </c>
      <c r="D3" s="1" t="inlineStr">
        <is>
          <t>Watched-state exclusion does not exist</t>
        </is>
      </c>
      <c r="E3" s="1" t="inlineStr">
        <is>
          <t>Confirmed source / requested feature</t>
        </is>
      </c>
      <c r="F3" s="1" t="inlineStr">
        <is>
          <t>src/app.js: shelf and refine; build.mjs: recRow</t>
        </is>
      </c>
      <c r="G3" s="1" t="inlineStr">
        <is>
          <t>Introduce independent saved and watched states keyed by stable slug. Add Already watched and persistent Hide dramas I’ve watched. Keep explicit title search results visible with a Watched badge.</t>
        </is>
      </c>
      <c r="H3" s="1" t="inlineStr">
        <is>
          <t>Mark a recommendation watched, refresh and visit another list: it stays excluded when the filter is on. Turning the filter off restores it. Saving is not silently removed.</t>
        </is>
      </c>
      <c r="I3" s="1" t="inlineStr">
        <is>
          <t>2</t>
        </is>
      </c>
      <c r="J3" s="1" t="inlineStr">
        <is>
          <t>M</t>
        </is>
      </c>
      <c r="K3" s="8" t="inlineStr">
        <is>
          <t>Implemented; browser QA pending</t>
        </is>
      </c>
      <c r="L3" s="8" t="inlineStr">
        <is>
          <t>Independent saved/watched state; persistent hide-watched filter; watched search badges; clear filters retains history.</t>
        </is>
      </c>
      <c r="M3" s="8" t="inlineStr">
        <is>
          <t>State persistence unit tests and watched-search DOM test.</t>
        </is>
      </c>
      <c r="N3" s="8" t="inlineStr">
        <is>
          <t>Run multi-page real-browser watched/undo/focus tests.</t>
        </is>
      </c>
      <c r="O3" s="8" t="inlineStr">
        <is>
          <t>Carried forward from inspected source status. Existing Node tests and fixture checks rerun as part of 254-test release; no new item-specific browser/editorial certification.</t>
        </is>
      </c>
      <c r="P3" s="8" t="inlineStr">
        <is>
          <t>2026-09-06</t>
        </is>
      </c>
    </row>
    <row r="4" ht="140" customHeight="1">
      <c r="A4" s="1" t="inlineStr">
        <is>
          <t>DR-03</t>
        </is>
      </c>
      <c r="B4" s="1" t="inlineStr">
        <is>
          <t>P1</t>
        </is>
      </c>
      <c r="C4" s="1" t="inlineStr">
        <is>
          <t>Shelf</t>
        </is>
      </c>
      <c r="D4" s="1" t="inlineStr">
        <is>
          <t>Shelf requires a detour to remove titles</t>
        </is>
      </c>
      <c r="E4" s="1" t="inlineStr">
        <is>
          <t>Confirmed source</t>
        </is>
      </c>
      <c r="F4" s="1" t="inlineStr">
        <is>
          <t>src/app.js: rendered .gitem anchor</t>
        </is>
      </c>
      <c r="G4" s="1" t="inlineStr">
        <is>
          <t>Use a semantic item containing a poster/title link and separate Remove and Mark watched buttons. Include Undo; avoid nested buttons inside links.</t>
        </is>
      </c>
      <c r="H4" s="1" t="inlineStr">
        <is>
          <t>Remove without opening the detail page, undo it, and use all actions with the keyboard. Shared shelves do not overwrite the reader’s own shelf.</t>
        </is>
      </c>
      <c r="I4" s="1" t="inlineStr">
        <is>
          <t>1</t>
        </is>
      </c>
      <c r="J4" s="1" t="inlineStr">
        <is>
          <t>S</t>
        </is>
      </c>
      <c r="K4" s="7" t="inlineStr">
        <is>
          <t>Focus repairs implemented; real-browser verification pending</t>
        </is>
      </c>
      <c r="L4" s="7" t="inlineStr">
        <is>
          <t>Shelf title links and non-item controls retain focus across cross-tab rerendering. Removed title links focus a neighbor or discovery. Existing remove/Undo/comparison focus behavior is preserved.</t>
        </is>
      </c>
      <c r="M4" s="7" t="inlineStr">
        <is>
          <t>Actual app DOM regressions cover retained/removed/final shelf links, shared-import control, removal/Undo and comparison controls.</t>
        </is>
      </c>
      <c r="N4" s="7" t="inlineStr">
        <is>
          <t>Configured Chromium cross-tab checks still need execution. Real keyboard, touch and assistive checks across browsers remain pending.</t>
        </is>
      </c>
      <c r="O4" s="7" t="inlineStr">
        <is>
          <t>Carried forward from inspected source status. Existing Node tests and fixture checks rerun as part of 254-test release; no new item-specific browser/editorial certification.</t>
        </is>
      </c>
      <c r="P4" s="7" t="inlineStr">
        <is>
          <t>2026-09-06</t>
        </is>
      </c>
    </row>
    <row r="5" ht="140" customHeight="1">
      <c r="A5" s="1" t="inlineStr">
        <is>
          <t>DR-04</t>
        </is>
      </c>
      <c r="B5" s="1" t="inlineStr">
        <is>
          <t>P1</t>
        </is>
      </c>
      <c r="C5" s="1" t="inlineStr">
        <is>
          <t>Reliability</t>
        </is>
      </c>
      <c r="D5" s="1" t="inlineStr">
        <is>
          <t>Malformed stored state and blocked writes break saving</t>
        </is>
      </c>
      <c r="E5" s="1" t="inlineStr">
        <is>
          <t>Reproduced in isolated Node DOM mock</t>
        </is>
      </c>
      <c r="F5" s="1" t="inlineStr">
        <is>
          <t>src/app.js: shelf(), localStorage.setItem</t>
        </is>
      </c>
      <c r="G5" s="1" t="inlineStr">
        <is>
          <t>Validate array shape and slug values, version stored data, catch every storage read/write, keep in-memory fallback and explain session-only persistence. Preserve existing sd.shelf data during migration.</t>
        </is>
      </c>
      <c r="H5" s="1" t="inlineStr">
        <is>
          <t>JSON object instead of array, invalid JSON, denied storage and quota failure do not throw uncaught exceptions. Save state and feedback remain truthful.</t>
        </is>
      </c>
      <c r="I5" s="1" t="inlineStr">
        <is>
          <t>1</t>
        </is>
      </c>
      <c r="J5" s="1" t="inlineStr">
        <is>
          <t>M</t>
        </is>
      </c>
      <c r="K5" s="8" t="inlineStr">
        <is>
          <t>Capacity and stale-tab repairs implemented; simultaneous-write limitation remains</t>
        </is>
      </c>
      <c r="L5" s="8" t="inlineStr">
        <is>
          <t>Saved/watched writes reject more than 500 distinct valid IDs before normalization and after stale-tab merging. Whole writes fail without truncation, a false Saved message or false Undo confirmation. Original stale-tab merge and session fallback remain.</t>
        </is>
      </c>
      <c r="M5" s="8" t="inlineStr">
        <is>
          <t>500-item boundaries, removals then additions, duplicate IDs, atomic multi-field rejection, stale-tab merging, session fallback and capacity-blocked Undo regressions pass.</t>
        </is>
      </c>
      <c r="N5" s="8" t="inlineStr">
        <is>
          <t>localStorage is not atomic; genuinely simultaneous writes remain best-effort. The 500-item cap is retained, not expanded. Real multi-tab/private-browsing checks and cross-device sync remain outside this delivery.</t>
        </is>
      </c>
      <c r="O5" s="8" t="inlineStr">
        <is>
          <t>Carried forward from inspected source status. Existing Node tests and fixture checks rerun as part of 254-test release; no new item-specific browser/editorial certification.</t>
        </is>
      </c>
      <c r="P5" s="8" t="inlineStr">
        <is>
          <t>2026-09-06</t>
        </is>
      </c>
    </row>
    <row r="6" ht="140" customHeight="1">
      <c r="A6" s="1" t="inlineStr">
        <is>
          <t>DR-05</t>
        </is>
      </c>
      <c r="B6" s="1" t="inlineStr">
        <is>
          <t>P1</t>
        </is>
      </c>
      <c r="C6" s="1" t="inlineStr">
        <is>
          <t>Reliability</t>
        </is>
      </c>
      <c r="D6" s="1" t="inlineStr">
        <is>
          <t>Shelf can remain loading after a failed fetch</t>
        </is>
      </c>
      <c r="E6" s="1" t="inlineStr">
        <is>
          <t>Confirmed missing failure handler; not a live failure claim</t>
        </is>
      </c>
      <c r="F6" s="1" t="inlineStr">
        <is>
          <t>src/app.js: shelf fetch; build.mjs: shelf skeleton</t>
        </is>
      </c>
      <c r="G6" s="1" t="inlineStr">
        <is>
          <t>Handle HTTP errors, timeout and invalid JSON. Show Retry and retain saved IDs. Add a useful no-JavaScript explanation.</t>
        </is>
      </c>
      <c r="H6" s="1" t="inlineStr">
        <is>
          <t>Simulated 500, timeout and malformed index produce an actionable error, not an endless skeleton or false empty shelf.</t>
        </is>
      </c>
      <c r="I6" s="1" t="inlineStr">
        <is>
          <t>1</t>
        </is>
      </c>
      <c r="J6" s="1" t="inlineStr">
        <is>
          <t>S</t>
        </is>
      </c>
      <c r="K6" s="7" t="inlineStr">
        <is>
          <t>Retry focus and schema repairs implemented; browser verification pending</t>
        </is>
      </c>
      <c r="L6" s="7" t="inlineStr">
        <is>
          <t>Successful shelf retry focuses a connected action or discovery; another failure focuses the replacement Retry. Late completion does not steal focus after the reader moves elsewhere. Existing schema rejection preserves saved IDs.</t>
        </is>
      </c>
      <c r="M6" s="7" t="inlineStr">
        <is>
          <t>DOM tests cover successful/empty/repeated-failure retry and late completion, with original catalog/network/retry regressions retained.</t>
        </is>
      </c>
      <c r="N6" s="7" t="inlineStr">
        <is>
          <t>Chromium CI retry checks are configured but unexecuted here. Real slow-network, caching and browser testing remain pending.</t>
        </is>
      </c>
      <c r="O6" s="7" t="inlineStr">
        <is>
          <t>Carried forward from inspected source status. Existing Node tests and fixture checks rerun as part of 254-test release; no new item-specific browser/editorial certification.</t>
        </is>
      </c>
      <c r="P6" s="7" t="inlineStr">
        <is>
          <t>2026-09-06</t>
        </is>
      </c>
    </row>
    <row r="7" ht="140" customHeight="1">
      <c r="A7" s="1" t="inlineStr">
        <is>
          <t>DR-06</t>
        </is>
      </c>
      <c r="B7" s="1" t="inlineStr">
        <is>
          <t>P2</t>
        </is>
      </c>
      <c r="C7" s="1" t="inlineStr">
        <is>
          <t>Shelf</t>
        </is>
      </c>
      <c r="D7" s="1" t="inlineStr">
        <is>
          <t>Shared links and clipboard fallback are fragile</t>
        </is>
      </c>
      <c r="E7" s="1" t="inlineStr">
        <is>
          <t>Malformed encoded hash reproduced; source review</t>
        </is>
      </c>
      <c r="F7" s="1" t="inlineStr">
        <is>
          <t>src/app.js: sharedSlugs(), shelfshare</t>
        </is>
      </c>
      <c r="G7" s="1" t="inlineStr">
        <is>
          <t>Catch URI decoding errors, validate/deduplicate shared slugs, bound input length, disclose that anyone with the link sees titles. Offer a persistent copyable text field when clipboard fails.</t>
        </is>
      </c>
      <c r="H7" s="1" t="inlineStr">
        <is>
          <t>Malformed share link does not crash. A blocked clipboard still permits manual copying. Import merges valid titles only and leaves the original shelf intact.</t>
        </is>
      </c>
      <c r="I7" s="1" t="inlineStr">
        <is>
          <t>1</t>
        </is>
      </c>
      <c r="J7" s="1" t="inlineStr">
        <is>
          <t>S</t>
        </is>
      </c>
      <c r="K7" s="8" t="inlineStr">
        <is>
          <t>Shared-size and clipboard repairs implemented; browser QA pending</t>
        </is>
      </c>
      <c r="L7" s="8" t="inlineStr">
        <is>
          <t>Shared imports no longer truncate before state validation: an over-capacity import is all-or-nothing and reports Nothing changed. Shared controls retain focus on cross-tab updates; fragment navigation and clipboard safeguards are preserved. Shared links with more than 500 distinct valid titles now fail explicitly, rather than truncating. Clipboard getter/method exceptions, promise rejection and missing API retain manual copying. Attempt IDs suppress stale completion after navigation or overlapping copies.</t>
        </is>
      </c>
      <c r="M7" s="8" t="inlineStr">
        <is>
          <t>New regressions cover 500/501 unique-title boundaries, duplicates, invalid IDs, no partial import, clipboard getter/write/rejection/missing cases, hash round trips and overlapping requests. All 254 Node tests pass.</t>
        </is>
      </c>
      <c r="N7" s="8" t="inlineStr">
        <is>
          <t>Native clipboard permissions, mobile/touch, real Back/Forward and cross-browser checks remain pending. 500-title cap is retained. No cross-device storage synchronization added.</t>
        </is>
      </c>
      <c r="O7" s="8" t="inlineStr">
        <is>
          <t>Implementation changed in this batch; see checked evidence.</t>
        </is>
      </c>
      <c r="P7" s="8" t="inlineStr">
        <is>
          <t>2026-09-06</t>
        </is>
      </c>
    </row>
    <row r="8" ht="140" customHeight="1">
      <c r="A8" s="1" t="inlineStr">
        <is>
          <t>DR-07</t>
        </is>
      </c>
      <c r="B8" s="1" t="inlineStr">
        <is>
          <t>P1</t>
        </is>
      </c>
      <c r="C8" s="1" t="inlineStr">
        <is>
          <t>Search</t>
        </is>
      </c>
      <c r="D8" s="1" t="inlineStr">
        <is>
          <t>Early typing is ignored after the search index loads</t>
        </is>
      </c>
      <c r="E8" s="1" t="inlineStr">
        <is>
          <t>Reproduced: 0 suggestion markup after load; appears after another input</t>
        </is>
      </c>
      <c r="F8" s="1" t="inlineStr">
        <is>
          <t>src/app.js: search fetch and draw</t>
        </is>
      </c>
      <c r="G8" s="1" t="inlineStr">
        <is>
          <t>Rerun search after loading resolves; show loading and retry states; distinguish index failure from no match.</t>
        </is>
      </c>
      <c r="H8" s="1" t="inlineStr">
        <is>
          <t>Type before a delayed fetch resolves: results appear without another keystroke. Failed fetch gives Retry rather than claiming the title is unwritten.</t>
        </is>
      </c>
      <c r="I8" s="1" t="inlineStr">
        <is>
          <t>1</t>
        </is>
      </c>
      <c r="J8" s="1" t="inlineStr">
        <is>
          <t>S</t>
        </is>
      </c>
      <c r="K8" s="7" t="inlineStr">
        <is>
          <t>Schema failure and retry recovery repaired; browser QA pending</t>
        </is>
      </c>
      <c r="L8" s="7" t="inlineStr">
        <is>
          <t>Malformed catalog data produces a retryable load error rather than a search crash. Retry prevents its removed button from being treated as an outside click and returns keyboard focus to the search input.</t>
        </is>
      </c>
      <c r="M8" s="7" t="inlineStr">
        <is>
          <t>Malformed response followed by valid retry, keyboard focus and delayed-index/error/explicit-title regressions pass.</t>
        </is>
      </c>
      <c r="N8" s="7" t="inlineStr">
        <is>
          <t>Real browser/network checks remain pending; unrecognized queries are not replaced with unrelated titles.</t>
        </is>
      </c>
      <c r="O8" s="7" t="inlineStr">
        <is>
          <t>Carried forward from inspected source status. Existing Node tests and fixture checks rerun as part of 254-test release; no new item-specific browser/editorial certification.</t>
        </is>
      </c>
      <c r="P8" s="7" t="inlineStr">
        <is>
          <t>2026-09-06</t>
        </is>
      </c>
    </row>
    <row r="9" ht="140" customHeight="1">
      <c r="A9" s="1" t="inlineStr">
        <is>
          <t>DR-08</t>
        </is>
      </c>
      <c r="B9" s="1" t="inlineStr">
        <is>
          <t>P1</t>
        </is>
      </c>
      <c r="C9" s="1" t="inlineStr">
        <is>
          <t>Search</t>
        </is>
      </c>
      <c r="D9" s="1" t="inlineStr">
        <is>
          <t>Natural queries and result labels are confusing</t>
        </is>
      </c>
      <c r="E9" s="1" t="inlineStr">
        <is>
          <t>Phrase miss reproduced; source and fetched homepage</t>
        </is>
      </c>
      <c r="F9" s="1" t="inlineStr">
        <is>
          <t>src/app.js: nrm(), score(), target()</t>
        </is>
      </c>
      <c r="G9" s="1" t="inlineStr">
        <is>
          <t>Normalize phrases such as dramas like; preserve aliases/typos; replace written with Similar-drama list or Review. Distinguish search input intent without silently substituting unrelated titles.</t>
        </is>
      </c>
      <c r="H9" s="1" t="inlineStr">
        <is>
          <t>Title, known alias, one typo and dramas like my liberation notes work. Review-only results clearly identify their destination before navigation.</t>
        </is>
      </c>
      <c r="I9" s="1" t="inlineStr">
        <is>
          <t>1</t>
        </is>
      </c>
      <c r="J9" s="1" t="inlineStr">
        <is>
          <t>S</t>
        </is>
      </c>
      <c r="K9" s="8" t="inlineStr">
        <is>
          <t>Implemented</t>
        </is>
      </c>
      <c r="L9" s="8" t="inlineStr">
        <is>
          <t>Natural query normalization, aliases and typo matching; Recommendations/Review labels; homepage missing-list destinations corrected.</t>
        </is>
      </c>
      <c r="M9" s="8" t="inlineStr">
        <is>
          <t>Title/alias/typo/phrase unit tests and full local-link scan.</t>
        </is>
      </c>
      <c r="N9" s="8" t="inlineStr">
        <is>
          <t>No actor-name search added; unrecognized titles stay unrecognized.</t>
        </is>
      </c>
      <c r="O9" s="8" t="inlineStr">
        <is>
          <t>Carried forward from inspected source status. Existing Node tests and fixture checks rerun as part of 254-test release; no new item-specific browser/editorial certification.</t>
        </is>
      </c>
      <c r="P9" s="8" t="inlineStr">
        <is>
          <t>2026-09-06</t>
        </is>
      </c>
    </row>
    <row r="10" ht="140" customHeight="1">
      <c r="A10" s="1" t="inlineStr">
        <is>
          <t>DR-09</t>
        </is>
      </c>
      <c r="B10" s="1" t="inlineStr">
        <is>
          <t>P1</t>
        </is>
      </c>
      <c r="C10" s="1" t="inlineStr">
        <is>
          <t>Accessibility</t>
        </is>
      </c>
      <c r="D10" s="1" t="inlineStr">
        <is>
          <t>Search visual and assistive states diverge</t>
        </is>
      </c>
      <c r="E10" s="1" t="inlineStr">
        <is>
          <t>Reproduced: no active descendant; Escape leaves expanded=true</t>
        </is>
      </c>
      <c r="F10" s="1" t="inlineStr">
        <is>
          <t>src/app.js: draw and keydown</t>
        </is>
      </c>
      <c r="G10" s="1" t="inlineStr">
        <is>
          <t>Implement combobox option IDs, selected state and aria-activedescendant. Reset open state on every close path. Make no-result alternatives accessible by keyboard.</t>
        </is>
      </c>
      <c r="H10" s="1" t="inlineStr">
        <is>
          <t>Keyboard tests pass; screen-reader test announces the selected option and correct expanded/collapsed state.</t>
        </is>
      </c>
      <c r="I10" s="1" t="inlineStr">
        <is>
          <t>1</t>
        </is>
      </c>
      <c r="J10" s="1" t="inlineStr">
        <is>
          <t>M</t>
        </is>
      </c>
      <c r="K10" s="7" t="inlineStr">
        <is>
          <t>Filter focus and input-method repairs implemented; assistive verification pending</t>
        </is>
      </c>
      <c r="L10" s="7" t="inlineStr">
        <is>
          <t>Clearing filters moves focus away from a newly hidden Clear or empty-state button to a visible filter. Original composition/isComposing/keyCode 229 handling and search ARIA remain.</t>
        </is>
      </c>
      <c r="M10" s="7" t="inlineStr">
        <is>
          <t>DOM regressions for both clear controls pass, along with all prior composition, delayed-input and search-focus cases.</t>
        </is>
      </c>
      <c r="N10" s="7" t="inlineStr">
        <is>
          <t>Configured Chromium clear-focus tests await execution. Native Korean/Chinese/Japanese IMEs, mobile keyboards, other browsers and screen readers remain pending.</t>
        </is>
      </c>
      <c r="O10" s="7" t="inlineStr">
        <is>
          <t>Carried forward from inspected source status. Existing Node tests and fixture checks rerun as part of 254-test release; no new item-specific browser/editorial certification.</t>
        </is>
      </c>
      <c r="P10" s="7" t="inlineStr">
        <is>
          <t>2026-09-06</t>
        </is>
      </c>
    </row>
    <row r="11" ht="140" customHeight="1">
      <c r="A11" s="1" t="inlineStr">
        <is>
          <t>DR-10</t>
        </is>
      </c>
      <c r="B11" s="1" t="inlineStr">
        <is>
          <t>P1</t>
        </is>
      </c>
      <c r="C11" s="1" t="inlineStr">
        <is>
          <t>Reading</t>
        </is>
      </c>
      <c r="D11" s="1" t="inlineStr">
        <is>
          <t>Do not squeeze decision copy into three desktop columns</t>
        </is>
      </c>
      <c r="E11" s="1" t="inlineStr">
        <is>
          <t>User feedback on rejected concept; recommendation for current design</t>
        </is>
      </c>
      <c r="F11" s="1" t="inlineStr">
        <is>
          <t>Existing .rec, .why, .recbody; rejected Afterglow concept</t>
        </is>
      </c>
      <c r="G11" s="1" t="inlineStr">
        <is>
          <t>Retain current poster-plus-wide-text rows and fonts. Put one-sentence fit, one-sentence caveat and commitment first; move fuller editorial into a native expandable section or detail page.</t>
        </is>
      </c>
      <c r="H11" s="1" t="inlineStr">
        <is>
          <t>At laptop widths, decision copy has comfortable measure and no fixed-height clipping. At mobile widths long copy can move below the poster rather than squeezing beside it.</t>
        </is>
      </c>
      <c r="I11" s="1" t="inlineStr">
        <is>
          <t>2</t>
        </is>
      </c>
      <c r="J11" s="1" t="inlineStr">
        <is>
          <t>M</t>
        </is>
      </c>
      <c r="K11" s="8" t="inlineStr">
        <is>
          <t>Partial</t>
        </is>
      </c>
      <c r="L11" s="8" t="inlineStr">
        <is>
          <t>Wide rows retained; short fit and caveat extracted from existing prose; full comparison expandable; commitment separated.</t>
        </is>
      </c>
      <c r="M11" s="8" t="inlineStr">
        <is>
          <t>Generated markup smoke check; existing fonts/palette preserved.</t>
        </is>
      </c>
      <c r="N11" s="8" t="inlineStr">
        <is>
          <t>Automated extraction is not an editorial rewrite. Manually refine summaries and test layouts.</t>
        </is>
      </c>
      <c r="O11" s="8" t="inlineStr">
        <is>
          <t>Carried forward from inspected source status. Existing Node tests and fixture checks rerun as part of 254-test release; no new item-specific browser/editorial certification.</t>
        </is>
      </c>
      <c r="P11" s="8" t="inlineStr">
        <is>
          <t>2026-09-06</t>
        </is>
      </c>
    </row>
    <row r="12" ht="140" customHeight="1">
      <c r="A12" s="1" t="inlineStr">
        <is>
          <t>DR-11</t>
        </is>
      </c>
      <c r="B12" s="1" t="inlineStr">
        <is>
          <t>P1</t>
        </is>
      </c>
      <c r="C12" s="1" t="inlineStr">
        <is>
          <t>Personalization</t>
        </is>
      </c>
      <c r="D12" s="1" t="inlineStr">
        <is>
          <t>The page decides why someone liked the seed</t>
        </is>
      </c>
      <c r="E12" s="1" t="inlineStr">
        <is>
          <t>Confirmed v2 wording and fixed-list schema</t>
        </is>
      </c>
      <c r="F12" s="1" t="inlineStr">
        <is>
          <t>My Liberation Notes standfirst; data/pages/*.json</t>
        </is>
      </c>
      <c r="G12" s="1" t="inlineStr">
        <is>
          <t>Replace prescriptive lead-ins such as it was not the romance. Add 2-4 seed-specific reasons that rerank reviewed relationships, not generic genre scores. Always allow the original editorial order.</t>
        </is>
      </c>
      <c r="H12" s="1" t="inlineStr">
        <is>
          <t>Different supported reasons change order meaningfully and show a matching explanation. Unsupported reasons do not claim a match.</t>
        </is>
      </c>
      <c r="I12" s="1" t="inlineStr">
        <is>
          <t>3</t>
        </is>
      </c>
      <c r="J12" s="1" t="inlineStr">
        <is>
          <t>L</t>
        </is>
      </c>
      <c r="K12" s="7" t="inlineStr">
        <is>
          <t>Experimental pilot</t>
        </is>
      </c>
      <c r="L12" s="7" t="inlineStr">
        <is>
          <t>My Liberation Notes has three reason-specific subsets and explicit connection explanations; original order always available.</t>
        </is>
      </c>
      <c r="M12" s="7" t="inlineStr">
        <is>
          <t>Schema/source checks; optional browser pilot test supplied.</t>
        </is>
      </c>
      <c r="N12" s="7" t="inlineStr">
        <is>
          <t>One seed only. Fan testing and human editorial approval required before extending.</t>
        </is>
      </c>
      <c r="O12" s="7" t="inlineStr">
        <is>
          <t>Carried forward from inspected source status. Existing Node tests and fixture checks rerun as part of 254-test release; no new item-specific browser/editorial certification.</t>
        </is>
      </c>
      <c r="P12" s="7" t="inlineStr">
        <is>
          <t>2026-09-06</t>
        </is>
      </c>
    </row>
    <row r="13" ht="140" customHeight="1">
      <c r="A13" s="1" t="inlineStr">
        <is>
          <t>DR-12</t>
        </is>
      </c>
      <c r="B13" s="1" t="inlineStr">
        <is>
          <t>P2</t>
        </is>
      </c>
      <c r="C13" s="1" t="inlineStr">
        <is>
          <t>Personalization</t>
        </is>
      </c>
      <c r="D13" s="1" t="inlineStr">
        <is>
          <t>Percentages suggest precision without a method that supports it</t>
        </is>
      </c>
      <c r="E13" s="1" t="inlineStr">
        <is>
          <t>Computed: 46 of 152 lists use 96/91/86/81/76/71</t>
        </is>
      </c>
      <c r="F13" s="1" t="inlineStr">
        <is>
          <t>data/pages/*.json; matchbar template</t>
        </is>
      </c>
      <c r="G13" s="1" t="inlineStr">
        <is>
          <t>Replace percentages with editorial ordering and specific fit labels. Do not simply rename arbitrary numeric scores as confidence.</t>
        </is>
      </c>
      <c r="H13" s="1" t="inlineStr">
        <is>
          <t>No probability-like percentage is presented. Each leading pick explains its shared quality and principal mismatch.</t>
        </is>
      </c>
      <c r="I13" s="1" t="inlineStr">
        <is>
          <t>2</t>
        </is>
      </c>
      <c r="J13" s="1" t="inlineStr">
        <is>
          <t>M</t>
        </is>
      </c>
      <c r="K13" s="8" t="inlineStr">
        <is>
          <t>Implemented</t>
        </is>
      </c>
      <c r="L13" s="8" t="inlineStr">
        <is>
          <t>Removed visible match percentages and probability-like method copy; retained legacy numbers only as internal source data.</t>
        </is>
      </c>
      <c r="M13" s="8" t="inlineStr">
        <is>
          <t>All 341 generated HTML files scanned for match percentages.</t>
        </is>
      </c>
      <c r="N13" s="8" t="inlineStr">
        <is>
          <t>Editorial quality of each fit/caveat remains a separate review.</t>
        </is>
      </c>
      <c r="O13" s="8" t="inlineStr">
        <is>
          <t>Carried forward from inspected source status. Existing Node tests and fixture checks rerun as part of 254-test release; no new item-specific browser/editorial certification.</t>
        </is>
      </c>
      <c r="P13" s="8" t="inlineStr">
        <is>
          <t>2026-09-06</t>
        </is>
      </c>
    </row>
    <row r="14" ht="140" customHeight="1">
      <c r="A14" s="1" t="inlineStr">
        <is>
          <t>DR-13</t>
        </is>
      </c>
      <c r="B14" s="1" t="inlineStr">
        <is>
          <t>P1</t>
        </is>
      </c>
      <c r="C14" s="1" t="inlineStr">
        <is>
          <t>Personalization</t>
        </is>
      </c>
      <c r="D14" s="1" t="inlineStr">
        <is>
          <t>Secondary recommendations use input order, not best fit</t>
        </is>
      </c>
      <c r="E14" s="1" t="inlineStr">
        <is>
          <t>Confirmed source</t>
        </is>
      </c>
      <c r="F14" s="1" t="inlineStr">
        <is>
          <t>build.mjs: alsoLike construction</t>
        </is>
      </c>
      <c r="G14" s="1" t="inlineStr">
        <is>
          <t>Prefer a title’s own curated list, then use a documented, stable fallback relationship ranking with visible reasons.</t>
        </is>
      </c>
      <c r="H14" s="1" t="inlineStr">
        <is>
          <t>Reordering source files does not change secondary recommendations. Fallback picks have an understandable shared thread.</t>
        </is>
      </c>
      <c r="I14" s="1" t="inlineStr">
        <is>
          <t>3</t>
        </is>
      </c>
      <c r="J14" s="1" t="inlineStr">
        <is>
          <t>M</t>
        </is>
      </c>
      <c r="K14" s="7" t="inlineStr">
        <is>
          <t>Implemented</t>
        </is>
      </c>
      <c r="L14" s="7" t="inlineStr">
        <is>
          <t>Own curated picks take precedence; fallback co-occurrences rank deterministically and disclose the relationship basis.</t>
        </is>
      </c>
      <c r="M14" s="7" t="inlineStr">
        <is>
          <t>Curated preference and file-order invariance unit tests.</t>
        </is>
      </c>
      <c r="N14" s="7" t="inlineStr">
        <is>
          <t>Fallback explanation is overlap, not a personalized taste claim.</t>
        </is>
      </c>
      <c r="O14" s="7" t="inlineStr">
        <is>
          <t>Carried forward from inspected source status. Existing Node tests and fixture checks rerun as part of 254-test release; no new item-specific browser/editorial certification.</t>
        </is>
      </c>
      <c r="P14" s="7" t="inlineStr">
        <is>
          <t>2026-09-06</t>
        </is>
      </c>
    </row>
    <row r="15" ht="140" customHeight="1">
      <c r="A15" s="1" t="inlineStr">
        <is>
          <t>DR-14</t>
        </is>
      </c>
      <c r="B15" s="1" t="inlineStr">
        <is>
          <t>P2</t>
        </is>
      </c>
      <c r="C15" s="1" t="inlineStr">
        <is>
          <t>Editorial</t>
        </is>
      </c>
      <c r="D15" s="1" t="inlineStr">
        <is>
          <t>Anti-picks turn taste into a universal verdict</t>
        </is>
      </c>
      <c r="E15" s="1" t="inlineStr">
        <is>
          <t>Confirmed v2 copy and validator constraint</t>
        </is>
      </c>
      <c r="F15" s="1" t="inlineStr">
        <is>
          <t>Commonly suggested, and wrong; tools/validate-pages.mjs</t>
        </is>
      </c>
      <c r="G15" s="1" t="inlineStr">
        <is>
          <t>Make exclusions conditional on the desired feeling. Allow zero to three justified anti-picks instead of demanding three on every list.</t>
        </is>
      </c>
      <c r="H15" s="1" t="inlineStr">
        <is>
          <t>Every negative comparison names the mismatch. Legitimate directional recommendations remain possible.</t>
        </is>
      </c>
      <c r="I15" s="1" t="inlineStr">
        <is>
          <t>2</t>
        </is>
      </c>
      <c r="J15" s="1" t="inlineStr">
        <is>
          <t>M</t>
        </is>
      </c>
      <c r="K15" s="8" t="inlineStr">
        <is>
          <t>Partial</t>
        </is>
      </c>
      <c r="L15" s="8" t="inlineStr">
        <is>
          <t>Conditional section framing; zero to three anti-picks permitted by validation.</t>
        </is>
      </c>
      <c r="M15" s="8" t="inlineStr">
        <is>
          <t>Validator passes; title/slug data excluded from prose lint.</t>
        </is>
      </c>
      <c r="N15" s="8" t="inlineStr">
        <is>
          <t>Existing individual negative comparisons need human rewriting; reciprocity warnings retained.</t>
        </is>
      </c>
      <c r="O15" s="8" t="inlineStr">
        <is>
          <t>Carried forward from inspected source status. Existing Node tests and fixture checks rerun as part of 254-test release; no new item-specific browser/editorial certification.</t>
        </is>
      </c>
      <c r="P15" s="8" t="inlineStr">
        <is>
          <t>2026-09-06</t>
        </is>
      </c>
    </row>
    <row r="16" ht="140" customHeight="1">
      <c r="A16" s="1" t="inlineStr">
        <is>
          <t>DR-15</t>
        </is>
      </c>
      <c r="B16" s="1" t="inlineStr">
        <is>
          <t>P1</t>
        </is>
      </c>
      <c r="C16" s="1" t="inlineStr">
        <is>
          <t>Spoilers</t>
        </is>
      </c>
      <c r="D16" s="1" t="inlineStr">
        <is>
          <t>Ending labels and ending commentary leak before reveal</t>
        </is>
      </c>
      <c r="E16" s="1" t="inlineStr">
        <is>
          <t>Confirmed v2 collections/detail/list; source</t>
        </is>
      </c>
      <c r="F16" s="1" t="inlineStr">
        <is>
          <t>spoiler button, hubCard, verdict text</t>
        </is>
      </c>
      <c r="G16" s="1" t="inlineStr">
        <is>
          <t>Default to hiding ending tone and detail, with a saved preference for readers who want tone labels. Separate ending commentary from spoiler-safe verdict. Reveal and hide must both work.</t>
        </is>
      </c>
      <c r="H16" s="1" t="inlineStr">
        <is>
          <t>No ending outcomes appear in ordinary cards, search labels or verdicts while spoiler-safe mode is on. Outcome-specific collections give a clear warning before deliberate entry.</t>
        </is>
      </c>
      <c r="I16" s="1" t="inlineStr">
        <is>
          <t>2</t>
        </is>
      </c>
      <c r="J16" s="1" t="inlineStr">
        <is>
          <t>M</t>
        </is>
      </c>
      <c r="K16" s="7" t="inlineStr">
        <is>
          <t>Reveal controls implemented; spoiler-safe prose audit still partial</t>
        </is>
      </c>
      <c r="L16" s="7" t="inlineStr">
        <is>
          <t>Removed unsupported spoiler-safety promises from homepage, browse, ending-collection metadata and terms templates. Ending collections explicitly disclose that membership reveals tone. Existing reveal controls remain unchanged.</t>
        </is>
      </c>
      <c r="M16" s="7" t="inlineStr">
        <is>
          <t>Template regression and generated HTML scans reject the identified blanket safety language; all prior ending-control checks remain.</t>
        </is>
      </c>
      <c r="N16" s="7" t="inlineStr">
        <is>
          <t>Removing a promise is not removing every spoiler. Legacy verdicts, fit/caveat prose and all factual ending labels still need editorial review.</t>
        </is>
      </c>
      <c r="O16" s="7" t="inlineStr">
        <is>
          <t>Carried forward from inspected source status. Existing Node tests and fixture checks rerun as part of 254-test release; no new item-specific browser/editorial certification.</t>
        </is>
      </c>
      <c r="P16" s="7" t="inlineStr">
        <is>
          <t>2026-09-06</t>
        </is>
      </c>
    </row>
    <row r="17" ht="140" customHeight="1">
      <c r="A17" s="1" t="inlineStr">
        <is>
          <t>DR-16</t>
        </is>
      </c>
      <c r="B17" s="1" t="inlineStr">
        <is>
          <t>P1</t>
        </is>
      </c>
      <c r="C17" s="1" t="inlineStr">
        <is>
          <t>Usability</t>
        </is>
      </c>
      <c r="D17" s="1" t="inlineStr">
        <is>
          <t>Episode count is a poor and inconsistent commitment filter</t>
        </is>
      </c>
      <c r="E17" s="1" t="inlineStr">
        <is>
          <t>Confirmed source: Under 16 versus One weekend &lt;=12</t>
        </is>
      </c>
      <c r="F17" s="1" t="inlineStr">
        <is>
          <t>src/app.js: tests.short; build.mjs: HUBS and recmeta</t>
        </is>
      </c>
      <c r="G17" s="1" t="inlineStr">
        <is>
          <t>First fix duration data, then use approximate total viewing hours or clearly defined episode filters. Label approximation and season scope.</t>
        </is>
      </c>
      <c r="H17" s="1" t="inlineStr">
        <is>
          <t>A 12-episode series with long episodes does not automatically get called a short weekend watch. All pages use consistent units.</t>
        </is>
      </c>
      <c r="I17" s="1" t="inlineStr">
        <is>
          <t>2</t>
        </is>
      </c>
      <c r="J17" s="1" t="inlineStr">
        <is>
          <t>M</t>
        </is>
      </c>
      <c r="K17" s="8" t="inlineStr">
        <is>
          <t>Collection/client parity repaired; metadata review pending</t>
        </is>
      </c>
      <c r="L17" s="8" t="inlineStr">
        <is>
          <t>The static short-drama collection now calls the same positive-whole-episode predicate as the client filter. Data validation rejects fractional catalog episode counts. The builder's TMDB enrichment and existing identity/season repair are unchanged.</t>
        </is>
      </c>
      <c r="M17" s="8" t="inlineStr">
        <is>
          <t>Actual builder predicate evaluated against client boundary cases; real validator rejects fractional episodes; fixture and simulated-production builds pass with unchanged source data.</t>
        </is>
      </c>
      <c r="N17" s="8" t="inlineStr">
        <is>
          <t>Catalog-wide episode/runtime/season verification is still pending. This is not a total-viewing-time filter and adds no invented duration facts.</t>
        </is>
      </c>
      <c r="O17" s="8" t="inlineStr">
        <is>
          <t>Carried forward from inspected source status. Existing Node tests and fixture checks rerun as part of 254-test release; no new item-specific browser/editorial certification.</t>
        </is>
      </c>
      <c r="P17" s="8" t="inlineStr">
        <is>
          <t>2026-09-06</t>
        </is>
      </c>
    </row>
    <row r="18" ht="140" customHeight="1">
      <c r="A18" s="1" t="inlineStr">
        <is>
          <t>DR-17</t>
        </is>
      </c>
      <c r="B18" s="1" t="inlineStr">
        <is>
          <t>P1</t>
        </is>
      </c>
      <c r="C18" s="1" t="inlineStr">
        <is>
          <t>Mobile</t>
        </is>
      </c>
      <c r="D18" s="1" t="inlineStr">
        <is>
          <t>Detail-page source order prioritizes ancillary facts</t>
        </is>
      </c>
      <c r="E18" s="1" t="inlineStr">
        <is>
          <t>Confirmed source order; visual impact not browser-tested</t>
        </is>
      </c>
      <c r="F18" s="1" t="inlineStr">
        <is>
          <t>build.mjs: pageDetail; .detail responsive CSS</t>
        </is>
      </c>
      <c r="G18" s="1" t="inlineStr">
        <is>
          <t>Keep title and short verdict before extended facts on mobile. Test stacked sticky header/filter/mobile controls together; reserve viewport space for reading.</t>
        </is>
      </c>
      <c r="H18" s="1" t="inlineStr">
        <is>
          <t>360px and 200% zoom still show the decision summary before a long fact block. No fixed/sticky control obscures focused elements.</t>
        </is>
      </c>
      <c r="I18" s="1" t="inlineStr">
        <is>
          <t>2</t>
        </is>
      </c>
      <c r="J18" s="1" t="inlineStr">
        <is>
          <t>M</t>
        </is>
      </c>
      <c r="K18" s="7" t="inlineStr">
        <is>
          <t>Implemented; browser QA pending</t>
        </is>
      </c>
      <c r="L18" s="7" t="inlineStr">
        <is>
          <t>Detail title and verdict now precede sidebar in source; mobile filter strip is non-sticky at narrow widths.</t>
        </is>
      </c>
      <c r="M18" s="7" t="inlineStr">
        <is>
          <t>Generated detail source-order smoke check.</t>
        </is>
      </c>
      <c r="N18" s="7" t="inlineStr">
        <is>
          <t>Check 200% zoom, sticky controls and focused elements on devices.</t>
        </is>
      </c>
      <c r="O18" s="7" t="inlineStr">
        <is>
          <t>Carried forward from inspected source status. Existing Node tests and fixture checks rerun as part of 254-test release; no new item-specific browser/editorial certification.</t>
        </is>
      </c>
      <c r="P18" s="7" t="inlineStr">
        <is>
          <t>2026-09-06</t>
        </is>
      </c>
    </row>
    <row r="19" ht="140" customHeight="1">
      <c r="A19" s="1" t="inlineStr">
        <is>
          <t>DR-18</t>
        </is>
      </c>
      <c r="B19" s="1" t="inlineStr">
        <is>
          <t>P1</t>
        </is>
      </c>
      <c r="C19" s="1" t="inlineStr">
        <is>
          <t>Editorial</t>
        </is>
      </c>
      <c r="D19" s="1" t="inlineStr">
        <is>
          <t>Incorrect director comparison survives on v2</t>
        </is>
      </c>
      <c r="E19" s="1" t="inlineStr">
        <is>
          <t>Verified deployed text against credit listings</t>
        </is>
      </c>
      <c r="F19" s="1" t="inlineStr">
        <is>
          <t>My Liberation Notes anti-pick: Something in the Rain</t>
        </is>
      </c>
      <c r="G19" s="1" t="inlineStr">
        <is>
          <t>Remove same director; verify credits against traceable references. Kim Suk-Yoon and An Pan-Seok are different directors.</t>
        </is>
      </c>
      <c r="H19" s="1" t="inlineStr">
        <is>
          <t>Corrected claim with source URLs in the editorial record; audit other same writer/director/cast claims.</t>
        </is>
      </c>
      <c r="I19" s="1" t="inlineStr">
        <is>
          <t>1</t>
        </is>
      </c>
      <c r="J19" s="1" t="inlineStr">
        <is>
          <t>S</t>
        </is>
      </c>
      <c r="K19" s="8" t="inlineStr">
        <is>
          <t>Known correction implemented</t>
        </is>
      </c>
      <c r="L19" s="8" t="inlineStr">
        <is>
          <t>Removed incorrect shared-director claim; retained traceable source URLs and correction scope/date.</t>
        </is>
      </c>
      <c r="M19" s="8" t="inlineStr">
        <is>
          <t>Fresh public credits checked; regression guard for the known claim.</t>
        </is>
      </c>
      <c r="N19" s="8" t="inlineStr">
        <is>
          <t>Other writer/director/cast claims remain in the review queue.</t>
        </is>
      </c>
      <c r="O19" s="8" t="inlineStr">
        <is>
          <t>Carried forward from inspected source status. Existing Node tests and fixture checks rerun as part of 254-test release; no new item-specific browser/editorial certification.</t>
        </is>
      </c>
      <c r="P19" s="8" t="inlineStr">
        <is>
          <t>2026-09-06</t>
        </is>
      </c>
    </row>
    <row r="20" ht="140" customHeight="1">
      <c r="A20" s="1" t="inlineStr">
        <is>
          <t>DR-19</t>
        </is>
      </c>
      <c r="B20" s="1" t="inlineStr">
        <is>
          <t>P1</t>
        </is>
      </c>
      <c r="C20" s="1" t="inlineStr">
        <is>
          <t>Metadata</t>
        </is>
      </c>
      <c r="D20" s="1" t="inlineStr">
        <is>
          <t>TMDB enrichment can overwrite correct episode data</t>
        </is>
      </c>
      <c r="E20" s="1" t="inlineStr">
        <is>
          <t>Verified v2 mismatch; confirmed source overwrite</t>
        </is>
      </c>
      <c r="F20" s="1" t="inlineStr">
        <is>
          <t>enrich(); Netflix collection; Trauma Code</t>
        </is>
      </c>
      <c r="G20" s="1" t="inlineStr">
        <is>
          <t>Pin verified TMDB IDs; protect approved overrides; distinguish series, season, split broadcast and combined streaming episodes. Define precedence explicitly.</t>
        </is>
      </c>
      <c r="H20" s="1" t="inlineStr">
        <is>
          <t>Trauma Code displays 8 episodes; all pages agree. Series totals cannot silently overwrite a season-specific review. Metadata changes are reviewable.</t>
        </is>
      </c>
      <c r="I20" s="1" t="inlineStr">
        <is>
          <t>1</t>
        </is>
      </c>
      <c r="J20" s="1" t="inlineStr">
        <is>
          <t>M</t>
        </is>
      </c>
      <c r="K20" s="7" t="inlineStr">
        <is>
          <t>Season schema repaired; catalog metadata review remains partial</t>
        </is>
      </c>
      <c r="L20" s="7" t="inlineStr">
        <is>
          <t>Editorial episode/runtime values take precedence, season fallback cannot take whole-series counts; Trauma Code stays at eight with Netflix source. Explicit season identifiers must now be positive safe whole numbers; invalid types/zero/fractions are blocked before generation.</t>
        </is>
      </c>
      <c r="M20" s="7" t="inlineStr">
        <is>
          <t>Season schema rejection/acceptance regressions and existing TMDB identity, episode precedence and season lookup tests pass. Trauma Code 8-episode structure check passes.</t>
        </is>
      </c>
      <c r="N20" s="7" t="inlineStr">
        <is>
          <t>Catalog-wide season/broadcast normalization and identity pins still pending.</t>
        </is>
      </c>
      <c r="O20" s="7" t="inlineStr">
        <is>
          <t>Implementation changed in this batch; see checked evidence.</t>
        </is>
      </c>
      <c r="P20" s="7" t="inlineStr">
        <is>
          <t>2026-09-06</t>
        </is>
      </c>
    </row>
    <row r="21" ht="140" customHeight="1">
      <c r="A21" s="1" t="inlineStr">
        <is>
          <t>DR-20</t>
        </is>
      </c>
      <c r="B21" s="1" t="inlineStr">
        <is>
          <t>P1</t>
        </is>
      </c>
      <c r="C21" s="1" t="inlineStr">
        <is>
          <t>Metadata</t>
        </is>
      </c>
      <c r="D21" s="1" t="inlineStr">
        <is>
          <t>No catalog entry pins a TMDB ID</t>
        </is>
      </c>
      <c r="E21" s="1" t="inlineStr">
        <is>
          <t>Computed source inventory: 0 of 219 entries have tmdb_id</t>
        </is>
      </c>
      <c r="F21" s="1" t="inlineStr">
        <is>
          <t>data/dramas.json; enrich() first-result fallback</t>
        </is>
      </c>
      <c r="G21" s="1" t="inlineStr">
        <is>
          <t>Resolve and review title IDs, year/country/season alignment. On ambiguous results, retain last verified identity rather than trusting the first search hit.</t>
        </is>
      </c>
      <c r="H21" s="1" t="inlineStr">
        <is>
          <t>Every monetized title has a verified identity mapping or an explicit unverified state; metadata from a similarly named show cannot silently publish.</t>
        </is>
      </c>
      <c r="I21" s="1" t="inlineStr">
        <is>
          <t>1</t>
        </is>
      </c>
      <c r="J21" s="1" t="inlineStr">
        <is>
          <t>L</t>
        </is>
      </c>
      <c r="K21" s="8" t="inlineStr">
        <is>
          <t>Explicit-ID validation repaired; identity certification still pending</t>
        </is>
      </c>
      <c r="L21" s="8" t="inlineStr">
        <is>
          <t>No first-result fallback: auto candidates require exact title/alias, year and KR origin; ambiguity declines a match; identity review status explicit. Explicit tmdb_id values, including zero, null and false, must be positive safe integers; absence remains allowed without fabricated mappings.</t>
        </is>
      </c>
      <c r="M21" s="8" t="inlineStr">
        <is>
          <t>New real-validator regressions and existing identity resolution tests pass. Fresh inventory still reports zero verified catalog identity mappings.</t>
        </is>
      </c>
      <c r="N21" s="8" t="inlineStr">
        <is>
          <t>ZERO catalog mappings certified as verified. Manually confirm IDs and provenance.</t>
        </is>
      </c>
      <c r="O21" s="8" t="inlineStr">
        <is>
          <t>Implementation changed in this batch; see checked evidence.</t>
        </is>
      </c>
      <c r="P21" s="8" t="inlineStr">
        <is>
          <t>2026-09-06</t>
        </is>
      </c>
    </row>
    <row r="22" ht="140" customHeight="1">
      <c r="A22" s="1" t="inlineStr">
        <is>
          <t>DR-21</t>
        </is>
      </c>
      <c r="B22" s="1" t="inlineStr">
        <is>
          <t>P1</t>
        </is>
      </c>
      <c r="C22" s="1" t="inlineStr">
        <is>
          <t>Trust</t>
        </is>
      </c>
      <c r="D22" s="1" t="inlineStr">
        <is>
          <t>Research status and production wording do not consistently match</t>
        </is>
      </c>
      <c r="E22" s="1" t="inlineStr">
        <is>
          <t>Source sample plus contradictory project notes; not a claim that all writing is false</t>
        </is>
      </c>
      <c r="F22" s="1" t="inlineStr">
        <is>
          <t>Melo Movie verdict; PROJECT-STATE.json research status; how-we-pick</t>
        </is>
      </c>
      <c r="G22" s="1" t="inlineStr">
        <is>
          <t>Remove in this batch and source or remove numeric superlatives. Keep accurate process wording and review scope; no forced AI badge assumed, but hand-written must not misrepresent AI-assisted drafts.</t>
        </is>
      </c>
      <c r="H22" s="1" t="inlineStr">
        <is>
          <t>No internal batch language. Factual claims have provenance. Completion claims distinguish researched review from personal full viewing and partially aired material.</t>
        </is>
      </c>
      <c r="I22" s="1" t="inlineStr">
        <is>
          <t>2</t>
        </is>
      </c>
      <c r="J22" s="1" t="inlineStr">
        <is>
          <t>L</t>
        </is>
      </c>
      <c r="K22" s="7" t="inlineStr">
        <is>
          <t>Public blanket-review copy corrected; editorial verification remains partial</t>
        </is>
      </c>
      <c r="L22" s="7" t="inlineStr">
        <is>
          <t>Homepage metadata and catalog headings/descriptions/structured data no longer claim universal hand review. Catalog copy states that review coverage varies. Prior Melo Movie wording repair remains.</t>
        </is>
      </c>
      <c r="M22" s="7" t="inlineStr">
        <is>
          <t>Source regression and all 341 generated HTML files checked for the identified blanket review/safety claims. No catalog or recommendation prose was rewritten in this pass.</t>
        </is>
      </c>
      <c r="N22" s="7" t="inlineStr">
        <is>
          <t>Full 219-title factual/authorship certification, editor identity and remaining public process/byline claims require owner/editorial confirmation. This is not a claim that all public copy is now verified.</t>
        </is>
      </c>
      <c r="O22" s="7" t="inlineStr">
        <is>
          <t>Carried forward from inspected source status. Existing Node tests and fixture checks rerun as part of 254-test release; no new item-specific browser/editorial certification.</t>
        </is>
      </c>
      <c r="P22" s="7" t="inlineStr">
        <is>
          <t>2026-09-06</t>
        </is>
      </c>
    </row>
    <row r="23" ht="140" customHeight="1">
      <c r="A23" s="1" t="inlineStr">
        <is>
          <t>DR-22</t>
        </is>
      </c>
      <c r="B23" s="1" t="inlineStr">
        <is>
          <t>P1</t>
        </is>
      </c>
      <c r="C23" s="1" t="inlineStr">
        <is>
          <t>Trust</t>
        </is>
      </c>
      <c r="D23" s="1" t="inlineStr">
        <is>
          <t>Validator discourages evidence attribution rather than verifying it</t>
        </is>
      </c>
      <c r="E23" s="1" t="inlineStr">
        <is>
          <t>Confirmed source rules</t>
        </is>
      </c>
      <c r="F23" s="1" t="inlineStr">
        <is>
          <t>tools/validate-pages.mjs: ATTRIBUTION, BANNED, JSON.stringify(page)</t>
        </is>
      </c>
      <c r="G23" s="1" t="inlineStr">
        <is>
          <t>Separate concise editorial voice from sourced reception reporting. Require sources for factual/statistical claims, allow attributed reporting when useful, scope prose lint to prose fields only.</t>
        </is>
      </c>
      <c r="H23" s="1" t="inlineStr">
        <is>
          <t>Captivating the King is allowed as a title. Unsupported factual claims and missing required sources fail the relevant review gate, not merely banned adjectives.</t>
        </is>
      </c>
      <c r="I23" s="1" t="inlineStr">
        <is>
          <t>1</t>
        </is>
      </c>
      <c r="J23" s="1" t="inlineStr">
        <is>
          <t>M</t>
        </is>
      </c>
      <c r="K23" s="8" t="inlineStr">
        <is>
          <t>Page schema, review dates and title-aware lint repaired; facts unverified</t>
        </is>
      </c>
      <c r="L23" s="8" t="inlineStr">
        <is>
          <t>Structured claims, verified identities and episode citations require well-formed HTTPS sources and valid calendar dates. Credential-bearing/malformed URLs, impossible dates, future timestamps, malformed claim arrays and mismatched episode evidence fail with item-level diagnostics. Recommendation arrays and entries, prose types and catalog prose are checked before use. Reviewed dates require a real, non-future calendar date. Full catalog-title spans are exempt from banned-word lint; unrelated filler still fails.</t>
        </is>
      </c>
      <c r="M23" s="8" t="inlineStr">
        <is>
          <t>New real-validator tests cover malformed arrays/entries, dates, prose, full-title boundaries and filler outside title spans. Current catalog/page validation passes with 26 non-blocking reciprocal recommendation warnings.</t>
        </is>
      </c>
      <c r="N23" s="8" t="inlineStr">
        <is>
          <t>Validation proves syntax/shape, not source truth, link reachability or actual human review. Legacy prose attribution, negative comparisons, ending spoilers and full identity review remain pending.</t>
        </is>
      </c>
      <c r="O23" s="8" t="inlineStr">
        <is>
          <t>Implementation changed in this batch; see checked evidence.</t>
        </is>
      </c>
      <c r="P23" s="8" t="inlineStr">
        <is>
          <t>2026-09-06</t>
        </is>
      </c>
    </row>
    <row r="24" ht="140" customHeight="1">
      <c r="A24" s="1" t="inlineStr">
        <is>
          <t>DR-23</t>
        </is>
      </c>
      <c r="B24" s="1" t="inlineStr">
        <is>
          <t>P1</t>
        </is>
      </c>
      <c r="C24" s="1" t="inlineStr">
        <is>
          <t>Streaming</t>
        </is>
      </c>
      <c r="D24" s="1" t="inlineStr">
        <is>
          <t>No data is rendered as definitely unavailable</t>
        </is>
      </c>
      <c r="E24" s="1" t="inlineStr">
        <is>
          <t>Confirmed source and deployed wording</t>
        </is>
      </c>
      <c r="F24" s="1" t="inlineStr">
        <is>
          <t>provChips; client paint(); Live recommendation</t>
        </is>
      </c>
      <c r="G24" s="1" t="inlineStr">
        <is>
          <t>Use available, availability unconfirmed, stale and error states. A missing provider result alone must not prove global or regional unavailability.</t>
        </is>
      </c>
      <c r="H24" s="1" t="inlineStr">
        <is>
          <t>Simulated missing/failed provider response says availability unconfirmed, retains last-good data when applicable, and offers a source check.</t>
        </is>
      </c>
      <c r="I24" s="1" t="inlineStr">
        <is>
          <t>1</t>
        </is>
      </c>
      <c r="J24" s="1" t="inlineStr">
        <is>
          <t>M</t>
        </is>
      </c>
      <c r="K24" s="7" t="inlineStr">
        <is>
          <t>Implemented; live upstream QA pending</t>
        </is>
      </c>
      <c r="L24" s="7" t="inlineStr">
        <is>
          <t>Initial HTML and region changes share the same streaming renderer and region-specific freshness wording. Empty results remain unconfirmed, dates age after 24 hours, and fallback data is marked potentially outdated.</t>
        </is>
      </c>
      <c r="M24" s="7" t="inlineStr">
        <is>
          <t>Renderer parity, empty-region, invalid/future date, stale-cache and actual region-change DOM tests; synthetic production output.</t>
        </is>
      </c>
      <c r="N24" s="7" t="inlineStr">
        <is>
          <t>Real API failure/staleness and browser integration checks still required. Retrieval dates are not independent provider verification.</t>
        </is>
      </c>
      <c r="O24" s="7" t="inlineStr">
        <is>
          <t>Carried forward from inspected source status. Existing Node tests and fixture checks rerun as part of 254-test release; no new item-specific browser/editorial certification.</t>
        </is>
      </c>
      <c r="P24" s="7" t="inlineStr">
        <is>
          <t>2026-09-06</t>
        </is>
      </c>
    </row>
    <row r="25" ht="140" customHeight="1">
      <c r="A25" s="1" t="inlineStr">
        <is>
          <t>DR-24</t>
        </is>
      </c>
      <c r="B25" s="1" t="inlineStr">
        <is>
          <t>P1</t>
        </is>
      </c>
      <c r="C25" s="1" t="inlineStr">
        <is>
          <t>Streaming</t>
        </is>
      </c>
      <c r="D25" s="1" t="inlineStr">
        <is>
          <t>Netflix collection contradicts its regional promise</t>
        </is>
      </c>
      <c r="E25" s="1" t="inlineStr">
        <is>
          <t>Confirmed v2 text and source membership</t>
        </is>
      </c>
      <c r="F25" s="1" t="inlineStr">
        <is>
          <t>best-k-dramas-on-netflix; pageHub/HUBS</t>
        </is>
      </c>
      <c r="G25" s="1" t="inlineStr">
        <is>
          <t>Immediately label the existing collection Netflix US/default-region correctly; later filter membership and counts using the chosen region. Show checked-at date rather than today without a freshness guarantee.</t>
        </is>
      </c>
      <c r="H25" s="1" t="inlineStr">
        <is>
          <t>Region changes update membership and count, or the entire page clearly states a fixed region. Unknown coverage is not empty availability.</t>
        </is>
      </c>
      <c r="I25" s="1" t="inlineStr">
        <is>
          <t>1</t>
        </is>
      </c>
      <c r="J25" s="1" t="inlineStr">
        <is>
          <t>M</t>
        </is>
      </c>
      <c r="K25" s="8" t="inlineStr">
        <is>
          <t>Implemented</t>
        </is>
      </c>
      <c r="L25" s="8" t="inlineStr">
        <is>
          <t>Netflix collection explicitly fixed to US metadata; no in-your-region/today promise; unknown coverage has an honest empty state.</t>
        </is>
      </c>
      <c r="M25" s="8" t="inlineStr">
        <is>
          <t>Generated fixed-US page smoke check; source region filter verified.</t>
        </is>
      </c>
      <c r="N25" s="8" t="inlineStr">
        <is>
          <t>No live region-dependent collection membership; that is deliberately not promised.</t>
        </is>
      </c>
      <c r="O25" s="8" t="inlineStr">
        <is>
          <t>Carried forward from inspected source status. Existing Node tests and fixture checks rerun as part of 254-test release; no new item-specific browser/editorial certification.</t>
        </is>
      </c>
      <c r="P25" s="8" t="inlineStr">
        <is>
          <t>2026-09-06</t>
        </is>
      </c>
    </row>
    <row r="26" ht="140" customHeight="1">
      <c r="A26" s="1" t="inlineStr">
        <is>
          <t>DR-25</t>
        </is>
      </c>
      <c r="B26" s="1" t="inlineStr">
        <is>
          <t>P1</t>
        </is>
      </c>
      <c r="C26" s="1" t="inlineStr">
        <is>
          <t>Streaming</t>
        </is>
      </c>
      <c r="D26" s="1" t="inlineStr">
        <is>
          <t>Normalization can erase how a subscription is sold</t>
        </is>
      </c>
      <c r="E26" s="1" t="inlineStr">
        <is>
          <t>Confirmed code behavior; catalog impact not quantified</t>
        </is>
      </c>
      <c r="F26" s="1" t="inlineStr">
        <is>
          <t>brandOf(), pickProviders()</t>
        </is>
      </c>
      <c r="G26" s="1" t="inlineStr">
        <is>
          <t>Retain provider IDs, purchase model and channel/reseller identity. Separate standalone services from add-on channels; expose additional options instead of dropping all after the first four.</t>
        </is>
      </c>
      <c r="H26" s="1" t="inlineStr">
        <is>
          <t>A service sold through an Amazon/Apple/Roku channel is not advertised as the standalone subscription. Filtering uses full normalized provider data, not just visible chips.</t>
        </is>
      </c>
      <c r="I26" s="1" t="inlineStr">
        <is>
          <t>2</t>
        </is>
      </c>
      <c r="J26" s="1" t="inlineStr">
        <is>
          <t>M</t>
        </is>
      </c>
      <c r="K26" s="7" t="inlineStr">
        <is>
          <t>Plan presentation implemented; live/browser QA pending</t>
        </is>
      </c>
      <c r="L26" s="7" t="inlineStr">
        <is>
          <t>All available subscription, free, ad-supported, rent and buy records now receive distinct labels. Channel/reseller names remain intact. Rent/buy options use an availability source instead of a subscription search destination; filtering still uses the subscription/free/ad-supported data.</t>
        </is>
      </c>
      <c r="M26" s="7" t="inlineStr">
        <is>
          <t>Model/identity/link tests, static/client parity, rental exclusion from Netflix filtering, and simulated token-backed production output.</t>
        </is>
      </c>
      <c r="N26" s="7" t="inlineStr">
        <is>
          <t>Verify live regional provider results and compact layouts. No price or direct-title-link certification, affiliate approval or purchase availability guarantee is implied.</t>
        </is>
      </c>
      <c r="O26" s="7" t="inlineStr">
        <is>
          <t>Carried forward from inspected source status. Existing Node tests and fixture checks rerun as part of 254-test release; no new item-specific browser/editorial certification.</t>
        </is>
      </c>
      <c r="P26" s="7" t="inlineStr">
        <is>
          <t>2026-09-06</t>
        </is>
      </c>
    </row>
    <row r="27" ht="140" customHeight="1">
      <c r="A27" s="1" t="inlineStr">
        <is>
          <t>DR-26</t>
        </is>
      </c>
      <c r="B27" s="1" t="inlineStr">
        <is>
          <t>P1</t>
        </is>
      </c>
      <c r="C27" s="1" t="inlineStr">
        <is>
          <t>Streaming</t>
        </is>
      </c>
      <c r="D27" s="1" t="inlineStr">
        <is>
          <t>Provider search pages look like direct viewing links</t>
        </is>
      </c>
      <c r="E27" s="1" t="inlineStr">
        <is>
          <t>Confirmed source destination templates</t>
        </is>
      </c>
      <c r="F27" s="1" t="inlineStr">
        <is>
          <t>providerTarget(), watchHref(), WATCH_TABLE</t>
        </is>
      </c>
      <c r="G27" s="1" t="inlineStr">
        <is>
          <t>Label search destinations Search Netflix/Viki, label source aggregators Check availability, and use verified direct title links when supported. Keep one shared link resolver.</t>
        </is>
      </c>
      <c r="H27" s="1" t="inlineStr">
        <is>
          <t>Destination labels match where the reader lands. Paid links use approved regional tracking and accurate nearby disclosure.</t>
        </is>
      </c>
      <c r="I27" s="1" t="inlineStr">
        <is>
          <t>2</t>
        </is>
      </c>
      <c r="J27" s="1" t="inlineStr">
        <is>
          <t>M</t>
        </is>
      </c>
      <c r="K27" s="8" t="inlineStr">
        <is>
          <t>Implemented for current plain links</t>
        </is>
      </c>
      <c r="L27" s="8" t="inlineStr">
        <is>
          <t>Shared resolver retained; destination copy says Search or Check availability; tracking disabled.</t>
        </is>
      </c>
      <c r="M27" s="8" t="inlineStr">
        <is>
          <t>Generated/client source consistency review and tracking-tag scans.</t>
        </is>
      </c>
      <c r="N27" s="8" t="inlineStr">
        <is>
          <t>Verified direct title URLs and approved affiliate locale tests remain external.</t>
        </is>
      </c>
      <c r="O27" s="8" t="inlineStr">
        <is>
          <t>Carried forward from inspected source status. Existing Node tests and fixture checks rerun as part of 254-test release; no new item-specific browser/editorial certification.</t>
        </is>
      </c>
      <c r="P27" s="8" t="inlineStr">
        <is>
          <t>2026-09-06</t>
        </is>
      </c>
    </row>
    <row r="28" ht="140" customHeight="1">
      <c r="A28" s="1" t="inlineStr">
        <is>
          <t>DR-27</t>
        </is>
      </c>
      <c r="B28" s="1" t="inlineStr">
        <is>
          <t>P1</t>
        </is>
      </c>
      <c r="C28" s="1" t="inlineStr">
        <is>
          <t>Reliability</t>
        </is>
      </c>
      <c r="D28" s="1" t="inlineStr">
        <is>
          <t>Successful builds can publish degraded metadata</t>
        </is>
      </c>
      <c r="E28" s="1" t="inlineStr">
        <is>
          <t>Local no-token build succeeded with all posters absent; no live outage implied</t>
        </is>
      </c>
      <c r="F28" s="1" t="inlineStr">
        <is>
          <t>tmdb cache, enrich, build main</t>
        </is>
      </c>
      <c r="G28" s="1" t="inlineStr">
        <is>
          <t>Add timeouts, retry/backoff, explicit TTLs, persistent last-good snapshots and production quality gates. Separate intentional fixture builds from production builds.</t>
        </is>
      </c>
      <c r="H28" s="1" t="inlineStr">
        <is>
          <t>Production cannot release a catastrophic loss of posters/providers due to a failed upstream request. Stale data is dated; local development remains possible without a token.</t>
        </is>
      </c>
      <c r="I28" s="1" t="inlineStr">
        <is>
          <t>1</t>
        </is>
      </c>
      <c r="J28" s="1" t="inlineStr">
        <is>
          <t>L</t>
        </is>
      </c>
      <c r="K28" s="7" t="inlineStr">
        <is>
          <t>Snapshot validation strengthened; durable storage and live verification pending</t>
        </is>
      </c>
      <c r="L28" s="7" t="inlineStr">
        <is>
          <t>Hydrated overview/network, genre/provider arrays, rating bounds, availability status, retrieval dates, season dates and HTTPS link syntax are checked. Impossible dates fail; scheduled future season dates remain valid. Poster floor and retained-title/regional-loss guards are unchanged.</t>
        </is>
      </c>
      <c r="M28" s="7" t="inlineStr">
        <is>
          <t>Malformed fields/date/URL cases, legacy omissions, leap dates, rating bounds and five-minute clock skew pass. Release tests prove invalid candidates restore exact last-good bytes and invalid baselines stop before generation. Full isolated simulated-TMDB production build passes.</t>
        </is>
      </c>
      <c r="N28" s="7" t="inlineStr">
        <is>
          <t>Live metadata accuracy/coverage and durable snapshot storage remain pending. Stricter validation intentionally blocks malformed snapshots; correct the identified row rather than deleting the baseline or lowering the 95% floor.</t>
        </is>
      </c>
      <c r="O28" s="7" t="inlineStr">
        <is>
          <t>Carried forward from inspected source status. Existing Node tests and fixture checks rerun as part of 254-test release; no new item-specific browser/editorial certification.</t>
        </is>
      </c>
      <c r="P28" s="7" t="inlineStr">
        <is>
          <t>2026-09-06</t>
        </is>
      </c>
    </row>
    <row r="29" ht="140" customHeight="1">
      <c r="A29" s="1" t="inlineStr">
        <is>
          <t>DR-28</t>
        </is>
      </c>
      <c r="B29" s="1" t="inlineStr">
        <is>
          <t>P0 before ads</t>
        </is>
      </c>
      <c r="C29" s="1" t="inlineStr">
        <is>
          <t>Attribution</t>
        </is>
      </c>
      <c r="D29" s="1" t="inlineStr">
        <is>
          <t>Attribution implementation is incomplete</t>
        </is>
      </c>
      <c r="E29" s="1" t="inlineStr">
        <is>
          <t>Source review; official requirements checked</t>
        </is>
      </c>
      <c r="F29" s="1" t="inlineStr">
        <is>
          <t>layout/footer/about; watchRow</t>
        </is>
      </c>
      <c r="G29" s="1" t="inlineStr">
        <is>
          <t>Implement approved TMDB logo and notice in the required location, plus visible JustWatch attribution for provider data, subject to the completed commercial agreement. License procurement itself is out of scope.</t>
        </is>
      </c>
      <c r="H29" s="1" t="inlineStr">
        <is>
          <t>Attribution is present and accurate on the final deployed templates and conforms to applicable contract terms.</t>
        </is>
      </c>
      <c r="I29" s="1" t="inlineStr">
        <is>
          <t>1</t>
        </is>
      </c>
      <c r="J29" s="1" t="inlineStr">
        <is>
          <t>S</t>
        </is>
      </c>
      <c r="K29" s="8" t="inlineStr">
        <is>
          <t>Partial</t>
        </is>
      </c>
      <c r="L29" s="8" t="inlineStr">
        <is>
          <t>TMDB notice/link retained and visible JustWatch attribution/source check added.</t>
        </is>
      </c>
      <c r="M29" s="8" t="inlineStr">
        <is>
          <t>Generated footer/provider template review.</t>
        </is>
      </c>
      <c r="N29" s="8" t="inlineStr">
        <is>
          <t>Approved TMDB logo asset and commercial-contract-specific requirements still need confirmation. Licensing itself was treated as resolved.</t>
        </is>
      </c>
      <c r="O29" s="8" t="inlineStr">
        <is>
          <t>Carried forward from inspected source status. Existing Node tests and fixture checks rerun as part of 254-test release; no new item-specific browser/editorial certification.</t>
        </is>
      </c>
      <c r="P29" s="8" t="inlineStr">
        <is>
          <t>2026-09-06</t>
        </is>
      </c>
    </row>
    <row r="30" ht="140" customHeight="1">
      <c r="A30" s="1" t="inlineStr">
        <is>
          <t>DR-29</t>
        </is>
      </c>
      <c r="B30" s="1" t="inlineStr">
        <is>
          <t>P0 before ads</t>
        </is>
      </c>
      <c r="C30" s="1" t="inlineStr">
        <is>
          <t>Consent</t>
        </is>
      </c>
      <c r="D30" s="1" t="inlineStr">
        <is>
          <t>Ad, CMP and analytics settings are independently enabled</t>
        </is>
      </c>
      <c r="E30" s="1" t="inlineStr">
        <is>
          <t>Confirmed source risk; live request behavior not inspected</t>
        </is>
      </c>
      <c r="F30" s="1" t="inlineStr">
        <is>
          <t>layout(); ADSENSE, FC_ID, GA_ID; cookiechoices</t>
        </is>
      </c>
      <c r="G30" s="1" t="inlineStr">
        <is>
          <t>Create an explicit monetization readiness check and consent-aware tag sequencing. Use the current certified CMP integration; test consent denial, acceptance, withdrawal and failure. Non-personalized is not automatically consent-free.</t>
        </is>
      </c>
      <c r="H30" s="1" t="inlineStr">
        <is>
          <t>A staging consent matrix proves correct request/storage behavior and working withdrawal. Unready configuration fails deployment or disables monetization safely.</t>
        </is>
      </c>
      <c r="I30" s="1" t="inlineStr">
        <is>
          <t>4</t>
        </is>
      </c>
      <c r="J30" s="1" t="inlineStr">
        <is>
          <t>L</t>
        </is>
      </c>
      <c r="K30" s="7" t="inlineStr">
        <is>
          <t>Safeguarded; integration pending</t>
        </is>
      </c>
      <c r="L30" s="7" t="inlineStr">
        <is>
          <t>Ads, CMP, GA and tracking are intentionally disabled in this repair release even if old environment variables are present.</t>
        </is>
      </c>
      <c r="M30" s="7" t="inlineStr">
        <is>
          <t>Build with sample ad/GA/affiliate variables produced no tracking tags.</t>
        </is>
      </c>
      <c r="N30" s="7" t="inlineStr">
        <is>
          <t>This is NOT a functioning certified CMP implementation. Consent acceptance/denial/withdrawal/failure testing is still required before monetization.</t>
        </is>
      </c>
      <c r="O30" s="7" t="inlineStr">
        <is>
          <t>Carried forward from inspected source status. Existing Node tests and fixture checks rerun as part of 254-test release; no new item-specific browser/editorial certification.</t>
        </is>
      </c>
      <c r="P30" s="7" t="inlineStr">
        <is>
          <t>2026-09-06</t>
        </is>
      </c>
    </row>
    <row r="31" ht="140" customHeight="1">
      <c r="A31" s="1" t="inlineStr">
        <is>
          <t>DR-30</t>
        </is>
      </c>
      <c r="B31" s="1" t="inlineStr">
        <is>
          <t>P0 before ads</t>
        </is>
      </c>
      <c r="C31" s="1" t="inlineStr">
        <is>
          <t>Privacy</t>
        </is>
      </c>
      <c r="D31" s="1" t="inlineStr">
        <is>
          <t>Privacy claims are broader than the implementation supports</t>
        </is>
      </c>
      <c r="E31" s="1" t="inlineStr">
        <is>
          <t>Confirmed v2 copy</t>
        </is>
      </c>
      <c r="F31" s="1" t="inlineStr">
        <is>
          <t>privacy: We cannot identify you; shelf sharing; hosting/analytics</t>
        </is>
      </c>
      <c r="G31" s="1" t="inlineStr">
        <is>
          <t>Describe actual analytics, hosting, contact messages, external image requests and local storage. Explain share-link disclosure and retention. Do not promise anonymity or recovery that cannot be guaranteed.</t>
        </is>
      </c>
      <c r="H31" s="1" t="inlineStr">
        <is>
          <t>Policy and real network/storage behavior agree; reader preferences are separated from advertising consent. No watched-list payload is uploaded by default.</t>
        </is>
      </c>
      <c r="I31" s="1" t="inlineStr">
        <is>
          <t>4</t>
        </is>
      </c>
      <c r="J31" s="1" t="inlineStr">
        <is>
          <t>M</t>
        </is>
      </c>
      <c r="K31" s="8" t="inlineStr">
        <is>
          <t>Partial</t>
        </is>
      </c>
      <c r="L31" s="8" t="inlineStr">
        <is>
          <t>Policy describes local state, share disclosure, IP/hosting/contact processing, disabled analytics and uncertain retention honestly.</t>
        </is>
      </c>
      <c r="M31" s="8" t="inlineStr">
        <is>
          <t>Generated policy and source behavior reviewed.</t>
        </is>
      </c>
      <c r="N31" s="8" t="inlineStr">
        <is>
          <t>Owner/legal review and actual hosting/contact retention settings remain pending.</t>
        </is>
      </c>
      <c r="O31" s="8" t="inlineStr">
        <is>
          <t>Carried forward from inspected source status. Existing Node tests and fixture checks rerun as part of 254-test release; no new item-specific browser/editorial certification.</t>
        </is>
      </c>
      <c r="P31" s="8" t="inlineStr">
        <is>
          <t>2026-09-06</t>
        </is>
      </c>
    </row>
    <row r="32" ht="140" customHeight="1">
      <c r="A32" s="1" t="inlineStr">
        <is>
          <t>DR-31</t>
        </is>
      </c>
      <c r="B32" s="1" t="inlineStr">
        <is>
          <t>P0 before ads</t>
        </is>
      </c>
      <c r="C32" s="1" t="inlineStr">
        <is>
          <t>Advertising</t>
        </is>
      </c>
      <c r="D32" s="1" t="inlineStr">
        <is>
          <t>No per-page eligibility flag protects utility pages</t>
        </is>
      </c>
      <c r="E32" s="1" t="inlineStr">
        <is>
          <t>Confirmed source: global ad script in common layout</t>
        </is>
      </c>
      <c r="F32" s="1" t="inlineStr">
        <is>
          <t>layout(); shelf, 404, legal pages; adRow/adSlot</t>
        </is>
      </c>
      <c r="G32" s="1" t="inlineStr">
        <is>
          <t>Add an explicit adsAllowed page policy. Exclude shelf, empty/error/search-no-result states, privacy/contact and staging. Disable Auto ads on excluded pages as well as manual units.</t>
        </is>
      </c>
      <c r="H32" s="1" t="inlineStr">
        <is>
          <t>Excluded pages load no monetization tags under the chosen architecture. Valuable editorial routes alone are eligible; a noindex tag is not treated as an ad policy control.</t>
        </is>
      </c>
      <c r="I32" s="1" t="inlineStr">
        <is>
          <t>4</t>
        </is>
      </c>
      <c r="J32" s="1" t="inlineStr">
        <is>
          <t>M</t>
        </is>
      </c>
      <c r="K32" s="7" t="inlineStr">
        <is>
          <t>Safeguarded</t>
        </is>
      </c>
      <c r="L32" s="7" t="inlineStr">
        <is>
          <t>All routes are currently ad-ineligible because monetization is disabled globally, including utility pages and staging.</t>
        </is>
      </c>
      <c r="M32" s="7" t="inlineStr">
        <is>
          <t>341 generated HTML files scanned for ad/analytics scripts, including configured-variable fixture build.</t>
        </is>
      </c>
      <c r="N32" s="7" t="inlineStr">
        <is>
          <t>Per-page eligibility must be implemented and tested before re-enabling ads; noindex is not being used as an ad gate.</t>
        </is>
      </c>
      <c r="O32" s="7" t="inlineStr">
        <is>
          <t>Carried forward from inspected source status. Existing Node tests and fixture checks rerun as part of 254-test release; no new item-specific browser/editorial certification.</t>
        </is>
      </c>
      <c r="P32" s="7" t="inlineStr">
        <is>
          <t>2026-09-06</t>
        </is>
      </c>
    </row>
    <row r="33" ht="140" customHeight="1">
      <c r="A33" s="1" t="inlineStr">
        <is>
          <t>DR-32</t>
        </is>
      </c>
      <c r="B33" s="1" t="inlineStr">
        <is>
          <t>P1</t>
        </is>
      </c>
      <c r="C33" s="1" t="inlineStr">
        <is>
          <t>Advertising</t>
        </is>
      </c>
      <c r="D33" s="1" t="inlineStr">
        <is>
          <t>Ad space is only partially reserved and labels differ</t>
        </is>
      </c>
      <c r="E33" s="1" t="inlineStr">
        <is>
          <t>Confirmed CSS: 280px inline versus 100px generic; source labels</t>
        </is>
      </c>
      <c r="F33" s="1" t="inlineStr">
        <is>
          <t>adslot, adslot--inrow; adRow/adSlot</t>
        </is>
      </c>
      <c r="G33" s="1" t="inlineStr">
        <is>
          <t>Choose supported responsive sizes, reserve appropriate slot geometry and label every placement Advertisements. Do not insert ads between a poster and its controls. Test no-fill and consent states.</t>
        </is>
      </c>
      <c r="H33" s="1" t="inlineStr">
        <is>
          <t>No unexpected growth shifts a save/provider control under the pointer. Slots are visually distinct from picks; no stale ad-only empty results.</t>
        </is>
      </c>
      <c r="I33" s="1" t="inlineStr">
        <is>
          <t>4</t>
        </is>
      </c>
      <c r="J33" s="1" t="inlineStr">
        <is>
          <t>M</t>
        </is>
      </c>
      <c r="K33" s="8" t="inlineStr">
        <is>
          <t>Deferred; ads disabled</t>
        </is>
      </c>
      <c r="L33" s="8" t="inlineStr">
        <is>
          <t>No live ad slots are emitted in this release.</t>
        </is>
      </c>
      <c r="M33" s="8" t="inlineStr">
        <is>
          <t>No-ad smoke check.</t>
        </is>
      </c>
      <c r="N33" s="8" t="inlineStr">
        <is>
          <t>Actual reserved sizes, uniform labels, no-fill and consent layout tests remain unimplemented.</t>
        </is>
      </c>
      <c r="O33" s="8" t="inlineStr">
        <is>
          <t>Carried forward from inspected source status. Existing Node tests and fixture checks rerun as part of 254-test release; no new item-specific browser/editorial certification.</t>
        </is>
      </c>
      <c r="P33" s="8" t="inlineStr">
        <is>
          <t>2026-09-06</t>
        </is>
      </c>
    </row>
    <row r="34" ht="140" customHeight="1">
      <c r="A34" s="1" t="inlineStr">
        <is>
          <t>DR-33</t>
        </is>
      </c>
      <c r="B34" s="1" t="inlineStr">
        <is>
          <t>P1</t>
        </is>
      </c>
      <c r="C34" s="1" t="inlineStr">
        <is>
          <t>Advertising</t>
        </is>
      </c>
      <c r="D34" s="1" t="inlineStr">
        <is>
          <t>Placement follows original indices, not visible content</t>
        </is>
      </c>
      <c r="E34" s="1" t="inlineStr">
        <is>
          <t>Confirmed list inserts after original picks 2 and 5; interaction risk</t>
        </is>
      </c>
      <c r="F34" s="1" t="inlineStr">
        <is>
          <t>pageLike() adRow insertion; refine apply()</t>
        </is>
      </c>
      <c r="G34" s="1" t="inlineStr">
        <is>
          <t>Plan ad zones around visible editorial sections. Start with one after the initial shortlist; suppress later slot requests when insufficient content remains. Do not auto-refresh ads on filter changes.</t>
        </is>
      </c>
      <c r="H34" s="1" t="inlineStr">
        <is>
          <t>Zero or one filtered result does not leave an ad-heavy page. Active ads are not repeatedly refreshed or forcibly remounted by filter clicks.</t>
        </is>
      </c>
      <c r="I34" s="1" t="inlineStr">
        <is>
          <t>4</t>
        </is>
      </c>
      <c r="J34" s="1" t="inlineStr">
        <is>
          <t>M</t>
        </is>
      </c>
      <c r="K34" s="7" t="inlineStr">
        <is>
          <t>Safeguarded; placement work pending</t>
        </is>
      </c>
      <c r="L34" s="7" t="inlineStr">
        <is>
          <t>Client filter changes cannot request or refresh ads; no active ad units are shipped.</t>
        </is>
      </c>
      <c r="M34" s="7" t="inlineStr">
        <is>
          <t>No-ad smoke check and client source review.</t>
        </is>
      </c>
      <c r="N34" s="7" t="inlineStr">
        <is>
          <t>Visible-content-aware placement must be implemented before monetization; disabling ads is not completion of that feature.</t>
        </is>
      </c>
      <c r="O34" s="7" t="inlineStr">
        <is>
          <t>Carried forward from inspected source status. Existing Node tests and fixture checks rerun as part of 254-test release; no new item-specific browser/editorial certification.</t>
        </is>
      </c>
      <c r="P34" s="7" t="inlineStr">
        <is>
          <t>2026-09-06</t>
        </is>
      </c>
    </row>
    <row r="35" ht="140" customHeight="1">
      <c r="A35" s="1" t="inlineStr">
        <is>
          <t>DR-34</t>
        </is>
      </c>
      <c r="B35" s="1" t="inlineStr">
        <is>
          <t>P1</t>
        </is>
      </c>
      <c r="C35" s="1" t="inlineStr">
        <is>
          <t>Revenue</t>
        </is>
      </c>
      <c r="D35" s="1" t="inlineStr">
        <is>
          <t>Affiliate support exists, but earnings and approvals are unverified</t>
        </is>
      </c>
      <c r="E35" s="1" t="inlineStr">
        <is>
          <t>Confirmed source; private program approvals unavailable</t>
        </is>
      </c>
      <c r="F35" s="1" t="inlineStr">
        <is>
          <t>affiliate(); PROJECT-STATE.json; provider links</t>
        </is>
      </c>
      <c r="G35" s="1" t="inlineStr">
        <is>
          <t>Keep affiliate work conditional on actual program acceptance, allowed deep links and country-specific tracking. Do not divert recommendations to whichever service pays.</t>
        </is>
      </c>
      <c r="H35" s="1" t="inlineStr">
        <is>
          <t>Approved locale test links and disclosure checks pass before activation. Model costs and expected qualified conversions, not guaranteed affiliate income.</t>
        </is>
      </c>
      <c r="I35" s="1" t="inlineStr">
        <is>
          <t>4</t>
        </is>
      </c>
      <c r="J35" s="1" t="inlineStr">
        <is>
          <t>External</t>
        </is>
      </c>
      <c r="K35" s="8" t="inlineStr">
        <is>
          <t>External; safely disabled</t>
        </is>
      </c>
      <c r="L35" s="8" t="inlineStr">
        <is>
          <t>Affiliate environment variables cannot activate tracking in this release.</t>
        </is>
      </c>
      <c r="M35" s="8" t="inlineStr">
        <is>
          <t>Sample-variable build confirms no affiliate wrappers.</t>
        </is>
      </c>
      <c r="N35" s="8" t="inlineStr">
        <is>
          <t>Program acceptance, allowed destinations and country-specific tracking must be verified externally.</t>
        </is>
      </c>
      <c r="O35" s="8" t="inlineStr">
        <is>
          <t>Carried forward from inspected source status. Existing Node tests and fixture checks rerun as part of 254-test release; no new item-specific browser/editorial certification.</t>
        </is>
      </c>
      <c r="P35" s="8" t="inlineStr">
        <is>
          <t>2026-09-06</t>
        </is>
      </c>
    </row>
    <row r="36" ht="140" customHeight="1">
      <c r="A36" s="1" t="inlineStr">
        <is>
          <t>DR-35</t>
        </is>
      </c>
      <c r="B36" s="1" t="inlineStr">
        <is>
          <t>P1</t>
        </is>
      </c>
      <c r="C36" s="1" t="inlineStr">
        <is>
          <t>Measurement</t>
        </is>
      </c>
      <c r="D36" s="1" t="inlineStr">
        <is>
          <t>Business conclusions exceed the tiny documented sample</t>
        </is>
      </c>
      <c r="E36" s="1" t="inlineStr">
        <is>
          <t>Project-noted analytics; raw exports not inspected</t>
        </is>
      </c>
      <c r="F36" s="1" t="inlineStr">
        <is>
          <t>PROJECT-STATE.json: GA and Search Console notes</t>
        </is>
      </c>
      <c r="G36" s="1" t="inlineStr">
        <is>
          <t>Establish a consent-aware product funnel; separate production/staging and internal testing. Reconcile inconsistent new-user counts; do not infer bots from city names.</t>
        </is>
      </c>
      <c r="H36" s="1" t="inlineStr">
        <is>
          <t>Report observed sessions/searches/result views/saves/provider clicks with denominators. No unsupported claim about real humans, causation, RPM or conversion.</t>
        </is>
      </c>
      <c r="I36" s="1" t="inlineStr">
        <is>
          <t>1</t>
        </is>
      </c>
      <c r="J36" s="1" t="inlineStr">
        <is>
          <t>M</t>
        </is>
      </c>
      <c r="K36" s="7" t="inlineStr">
        <is>
          <t>Deferred; planning corrected</t>
        </is>
      </c>
      <c r="L36" s="7" t="inlineStr">
        <is>
          <t>Unsupported current analytics/bot conclusions moved out of current status and labeled unverified history; telemetry remains off.</t>
        </is>
      </c>
      <c r="M36" s="7" t="inlineStr">
        <is>
          <t>Generated inventory and current planning reviewed.</t>
        </is>
      </c>
      <c r="N36" s="7" t="inlineStr">
        <is>
          <t>No analytics exports available and no consent-aware funnel shipped. Instrument only after consent integration.</t>
        </is>
      </c>
      <c r="O36" s="7" t="inlineStr">
        <is>
          <t>Carried forward from inspected source status. Existing Node tests and fixture checks rerun as part of 254-test release; no new item-specific browser/editorial certification.</t>
        </is>
      </c>
      <c r="P36" s="7" t="inlineStr">
        <is>
          <t>2026-09-06</t>
        </is>
      </c>
    </row>
    <row r="37" ht="140" customHeight="1">
      <c r="A37" s="1" t="inlineStr">
        <is>
          <t>DR-36</t>
        </is>
      </c>
      <c r="B37" s="1" t="inlineStr">
        <is>
          <t>P1</t>
        </is>
      </c>
      <c r="C37" s="1" t="inlineStr">
        <is>
          <t>SEO/content</t>
        </is>
      </c>
      <c r="D37" s="1" t="inlineStr">
        <is>
          <t>Best collections are inventories, not clear editorial selections</t>
        </is>
      </c>
      <c r="E37" s="1" t="inlineStr">
        <is>
          <t>Confirmed deployed collection and source sort</t>
        </is>
      </c>
      <c r="F37" s="1" t="inlineStr">
        <is>
          <t>pageHub and Netflix collection</t>
        </is>
      </c>
      <c r="G37" s="1" t="inlineStr">
        <is>
          <t>Add an original, selected top section by decision need with tradeoffs, then the full filterable catalog. Avoid unnecessary extra pages and artificial word counts.</t>
        </is>
      </c>
      <c r="H37" s="1" t="inlineStr">
        <is>
          <t>Every indexable collection solves a distinct choice. Dates/regions are accurate; core recommendations remain available in server-rendered HTML.</t>
        </is>
      </c>
      <c r="I37" s="1" t="inlineStr">
        <is>
          <t>3</t>
        </is>
      </c>
      <c r="J37" s="1" t="inlineStr">
        <is>
          <t>L</t>
        </is>
      </c>
      <c r="K37" s="8" t="inlineStr">
        <is>
          <t>Partial</t>
        </is>
      </c>
      <c r="L37" s="8" t="inlineStr">
        <is>
          <t>Netflix inventory no longer claims best-to-worst curation or current local availability.</t>
        </is>
      </c>
      <c r="M37" s="8" t="inlineStr">
        <is>
          <t>Generated copy inspected.</t>
        </is>
      </c>
      <c r="N37" s="8" t="inlineStr">
        <is>
          <t>Genuinely selected need-based shortlists for collections remain editorial work.</t>
        </is>
      </c>
      <c r="O37" s="8" t="inlineStr">
        <is>
          <t>Carried forward from inspected source status. Existing Node tests and fixture checks rerun as part of 254-test release; no new item-specific browser/editorial certification.</t>
        </is>
      </c>
      <c r="P37" s="8" t="inlineStr">
        <is>
          <t>2026-09-06</t>
        </is>
      </c>
    </row>
    <row r="38" ht="140" customHeight="1">
      <c r="A38" s="1" t="inlineStr">
        <is>
          <t>DR-37</t>
        </is>
      </c>
      <c r="B38" s="1" t="inlineStr">
        <is>
          <t>P1</t>
        </is>
      </c>
      <c r="C38" s="1" t="inlineStr">
        <is>
          <t>Architecture</t>
        </is>
      </c>
      <c r="D38" s="1" t="inlineStr">
        <is>
          <t>Validation is not inside the configured deployment build</t>
        </is>
      </c>
      <c r="E38" s="1" t="inlineStr">
        <is>
          <t>Confirmed package/Vercel build command</t>
        </is>
      </c>
      <c r="F38" s="1" t="inlineStr">
        <is>
          <t>vercel.json; package.json; .github/workflows/validate.yml</t>
        </is>
      </c>
      <c r="G38" s="1" t="inlineStr">
        <is>
          <t>Make validation, data checks and smoke tests required parts of production build. Incrementally separate data, templates and browser interactions without changing URLs/framework.</t>
        </is>
      </c>
      <c r="H38" s="1" t="inlineStr">
        <is>
          <t>A failing content/schema/function test prevents the deploy. CI passing separately is not mistaken for blocking Vercel deployment. Rollback is tested.</t>
        </is>
      </c>
      <c r="I38" s="1" t="inlineStr">
        <is>
          <t>1</t>
        </is>
      </c>
      <c r="J38" s="1" t="inlineStr">
        <is>
          <t>M</t>
        </is>
      </c>
      <c r="K38" s="7" t="inlineStr">
        <is>
          <t>Build tests pass; browser fixture repaired, Chromium rerun pending</t>
        </is>
      </c>
      <c r="L38" s="7" t="inlineStr">
        <is>
          <t>Browser init seeding now runs only on the exact local test-server origin, preserves existing state and checks storage readback. Denial or silently discarded writes on the real origin can no longer be swallowed. Existing CI workflow and exception assertions remain enabled.</t>
        </is>
      </c>
      <c r="M38" s="7" t="inlineStr">
        <is>
          <t>254 Node tests pass: 184 retained and 70 added. The new suite produces 50 failures on the input source and zero on the repaired source. Fixture release and 341-HTML/834-streaming-row checks pass. Browser driver syntax and serialized callback tests pass, not a Chromium execution.</t>
        </is>
      </c>
      <c r="N38" s="7" t="inlineStr">
        <is>
          <t>User-reported browser run failed. No successful rerun is available. Playwright/Chromium are unavailable in this sandbox, which has no internet access to install them. Live TMDB, real devices, assistive tools, field performance and owner-managed deployment gating remain pending.</t>
        </is>
      </c>
      <c r="O38" s="7" t="inlineStr">
        <is>
          <t>Implementation changed in this batch; see checked evidence.</t>
        </is>
      </c>
      <c r="P38" s="7" t="inlineStr">
        <is>
          <t>2026-09-06</t>
        </is>
      </c>
    </row>
    <row r="39" ht="140" customHeight="1">
      <c r="A39" s="1" t="inlineStr">
        <is>
          <t>DR-38</t>
        </is>
      </c>
      <c r="B39" s="1" t="inlineStr">
        <is>
          <t>P2</t>
        </is>
      </c>
      <c r="C39" s="1" t="inlineStr">
        <is>
          <t>SEO/data</t>
        </is>
      </c>
      <c r="D39" s="1" t="inlineStr">
        <is>
          <t>Overlap labels and growth goals reward link quantity</t>
        </is>
      </c>
      <c r="E39" s="1" t="inlineStr">
        <is>
          <t>Confirmed source score includes cross-picks; project strategy text</t>
        </is>
      </c>
      <c r="F39" s="1" t="inlineStr">
        <is>
          <t>RELATED_LISTS; PROJECT-STATE batch14</t>
        </is>
      </c>
      <c r="G39" s="1" t="inlineStr">
        <is>
          <t>Separate true shared-pick count from ranking signals. Prioritize recommendation suitability and demonstrated demand, not reciprocal link totals.</t>
        </is>
      </c>
      <c r="H39" s="1" t="inlineStr">
        <is>
          <t>Displayed picks in common equals a set intersection. Legitimate removals do not fail a release just because link totals fall.</t>
        </is>
      </c>
      <c r="I39" s="1" t="inlineStr">
        <is>
          <t>3</t>
        </is>
      </c>
      <c r="J39" s="1" t="inlineStr">
        <is>
          <t>M</t>
        </is>
      </c>
      <c r="K39" s="8" t="inlineStr">
        <is>
          <t>Implemented</t>
        </is>
      </c>
      <c r="L39" s="8" t="inlineStr">
        <is>
          <t>Displayed shared-pick count is set intersection; ranking cross-links kept separately; lower link totals no longer treated as automatic breakage in current notes.</t>
        </is>
      </c>
      <c r="M39" s="8" t="inlineStr">
        <is>
          <t>Intersection/ranking unit test.</t>
        </is>
      </c>
      <c r="N39" s="8" t="inlineStr">
        <is>
          <t>Editorial suitability still outranks graph metrics.</t>
        </is>
      </c>
      <c r="O39" s="8" t="inlineStr">
        <is>
          <t>Carried forward from inspected source status. Existing Node tests and fixture checks rerun as part of 254-test release; no new item-specific browser/editorial certification.</t>
        </is>
      </c>
      <c r="P39" s="8" t="inlineStr">
        <is>
          <t>2026-09-06</t>
        </is>
      </c>
    </row>
    <row r="40" ht="140" customHeight="1">
      <c r="A40" s="1" t="inlineStr">
        <is>
          <t>DR-39</t>
        </is>
      </c>
      <c r="B40" s="1" t="inlineStr">
        <is>
          <t>P1</t>
        </is>
      </c>
      <c r="C40" s="1" t="inlineStr">
        <is>
          <t>Performance</t>
        </is>
      </c>
      <c r="D40" s="1" t="inlineStr">
        <is>
          <t>Responsive imagery and real-device evidence are missing</t>
        </is>
      </c>
      <c r="E40" s="1" t="inlineStr">
        <is>
          <t>Confirmed no srcset in poster template; no measured live CWV</t>
        </is>
      </c>
      <c r="F40" s="1" t="inlineStr">
        <is>
          <t>plate(); shelf image markup; assets</t>
        </is>
      </c>
      <c r="G40" s="1" t="inlineStr">
        <is>
          <t>Add appropriately sized srcset/sizes, preserve poster dimensions, prioritize only genuinely above-fold images, keep self-hosted fonts and static HTML. Measure real mobile/desktop behavior before changing bundles.</t>
        </is>
      </c>
      <c r="H40" s="1" t="inlineStr">
        <is>
          <t>No regression with ads/consent on; target p75 LCP &lt;=2.5s, INP &lt;=200ms and CLS &lt;=0.1 when field data exists. Lab tests are not represented as field proof.</t>
        </is>
      </c>
      <c r="I40" s="1" t="inlineStr">
        <is>
          <t>2</t>
        </is>
      </c>
      <c r="J40" s="1" t="inlineStr">
        <is>
          <t>M</t>
        </is>
      </c>
      <c r="K40" s="7" t="inlineStr">
        <is>
          <t>Partial</t>
        </is>
      </c>
      <c r="L40" s="7" t="inlineStr">
        <is>
          <t>Responsive TMDB srcset/sizes, lazy shelf images, intrinsic image dimensions; self-hosted fonts retained.</t>
        </is>
      </c>
      <c r="M40" s="7" t="inlineStr">
        <is>
          <t>Source/generated markup review; optional browser matrix supplied.</t>
        </is>
      </c>
      <c r="N40" s="7" t="inlineStr">
        <is>
          <t>No real-browser screenshots or measured LCP/INP/CLS; above-fold image priority still needs profiling.</t>
        </is>
      </c>
      <c r="O40" s="7" t="inlineStr">
        <is>
          <t>Carried forward from inspected source status. Existing Node tests and fixture checks rerun as part of 254-test release; no new item-specific browser/editorial certification.</t>
        </is>
      </c>
      <c r="P40" s="7" t="inlineStr">
        <is>
          <t>2026-09-06</t>
        </is>
      </c>
    </row>
    <row r="41" ht="140" customHeight="1">
      <c r="A41" s="1" t="inlineStr">
        <is>
          <t>DR-40</t>
        </is>
      </c>
      <c r="B41" s="1" t="inlineStr">
        <is>
          <t>P2</t>
        </is>
      </c>
      <c r="C41" s="1" t="inlineStr">
        <is>
          <t>Feedback</t>
        </is>
      </c>
      <c r="D41" s="1" t="inlineStr">
        <is>
          <t>Requests and corrections require an email client</t>
        </is>
      </c>
      <c r="E41" s="1" t="inlineStr">
        <is>
          <t>Confirmed source</t>
        </is>
      </c>
      <c r="F41" s="1" t="inlineStr">
        <is>
          <t>mailto links in search and recfoot</t>
        </is>
      </c>
      <c r="G41" s="1" t="inlineStr">
        <is>
          <t>Add a small correction/title request form with spam prevention, bounded input and an explicit send action; retain email fallback. Test success and server failure.</t>
        </is>
      </c>
      <c r="H41" s="1" t="inlineStr">
        <is>
          <t>User can report a factual issue without an email app and without creating an account. No silent sending or unbounded free-text analytics.</t>
        </is>
      </c>
      <c r="I41" s="1" t="inlineStr">
        <is>
          <t>3</t>
        </is>
      </c>
      <c r="J41" s="1" t="inlineStr">
        <is>
          <t>M</t>
        </is>
      </c>
      <c r="K41" s="8" t="inlineStr">
        <is>
          <t>Deferred</t>
        </is>
      </c>
      <c r="L41" s="8" t="inlineStr">
        <is>
          <t>Existing email/contact fallback retained; no fake form success or unconfigured server endpoint shipped.</t>
        </is>
      </c>
      <c r="M41" s="8" t="inlineStr">
        <is>
          <t>No external messages sent.</t>
        </is>
      </c>
      <c r="N41" s="8" t="inlineStr">
        <is>
          <t>A server-side submission destination, anti-spam/rate limits and success/failure tests must be configured.</t>
        </is>
      </c>
      <c r="O41" s="8" t="inlineStr">
        <is>
          <t>Carried forward from inspected source status. Existing Node tests and fixture checks rerun as part of 254-test release; no new item-specific browser/editorial certification.</t>
        </is>
      </c>
      <c r="P41" s="8" t="inlineStr">
        <is>
          <t>2026-09-06</t>
        </is>
      </c>
    </row>
    <row r="42" ht="140" customHeight="1">
      <c r="A42" s="1" t="inlineStr">
        <is>
          <t>DR-41</t>
        </is>
      </c>
      <c r="B42" s="1" t="inlineStr">
        <is>
          <t>P2</t>
        </is>
      </c>
      <c r="C42" s="1" t="inlineStr">
        <is>
          <t>Planning</t>
        </is>
      </c>
      <c r="D42" s="1" t="inlineStr">
        <is>
          <t>Current notes contain contradictions and stale actions</t>
        </is>
      </c>
      <c r="E42" s="1" t="inlineStr">
        <is>
          <t>Confirmed source; headline counts now match fresh inventory</t>
        </is>
      </c>
      <c r="F42" s="1" t="inlineStr">
        <is>
          <t>PROJECT-STATE.json: research coverage, open_items, analytics</t>
        </is>
      </c>
      <c r="G42" s="1" t="inlineStr">
        <is>
          <t>Generate objective counts from files. Keep sources/coverage as structured review records; reconcile stale 341-URL instruction and already-completed open items. Distinguish evidence from inference.</t>
        </is>
      </c>
      <c r="H42" s="1" t="inlineStr">
        <is>
          <t>One report matches the build; completed tasks do not reappear as pending. All 152 use both sources is not asserted alongside 105 still MDL-only.</t>
        </is>
      </c>
      <c r="I42" s="1" t="inlineStr">
        <is>
          <t>1</t>
        </is>
      </c>
      <c r="J42" s="1" t="inlineStr">
        <is>
          <t>S</t>
        </is>
      </c>
      <c r="K42" s="7" t="inlineStr">
        <is>
          <t>All 42 workbook statuses reconciled; historical research notes remain historical</t>
        </is>
      </c>
      <c r="L42" s="7" t="inlineStr">
        <is>
          <t>Fingerprint v2 includes .github source configuration, vercel.json and supported root runtime/ignore files. Exclusions are exact generated snapshot paths rather than broad filename patterns. Current inventory, status and test reports are refreshed. Supplied workbook now maps every DR-01 through DR-42 row to current implementation, this-pass evidence and remaining acceptance. Fresh counts replace outdated Read first inventory; historical findings are explicitly labeled.</t>
        </is>
      </c>
      <c r="M42" s="7" t="inlineStr">
        <is>
          <t>Workbook IDs compared one-to-one with all 42 source status records. 42 Status cells updated; no duplicate or missing IDs. Original seven worksheets preserved; Current evidence and Batch 10 sheets added. New source fingerprint and package manifest generated.</t>
        </is>
      </c>
      <c r="N42" s="7" t="inlineStr">
        <is>
          <t>Workbook update does not certify historical research, all editorial claims, deployment state, remote settings or external approvals. Older narrative notes remain historical; this report and refreshed statuses govern this delivery.</t>
        </is>
      </c>
      <c r="O42" s="7" t="inlineStr">
        <is>
          <t>Implementation changed in this batch; see checked evidence.</t>
        </is>
      </c>
      <c r="P42" s="7" t="inlineStr">
        <is>
          <t>2026-09-06</t>
        </is>
      </c>
    </row>
    <row r="43" ht="140" customHeight="1">
      <c r="A43" s="1" t="inlineStr">
        <is>
          <t>DR-42</t>
        </is>
      </c>
      <c r="B43" s="1" t="inlineStr">
        <is>
          <t>P2</t>
        </is>
      </c>
      <c r="C43" s="1" t="inlineStr">
        <is>
          <t>Discovery</t>
        </is>
      </c>
      <c r="D43" s="1" t="inlineStr">
        <is>
          <t>Actor/couple discovery and comparison should come after core repair</t>
        </is>
      </c>
      <c r="E43" s="1" t="inlineStr">
        <is>
          <t>Confirmed schema gap / proposed enhancement</t>
        </is>
      </c>
      <c r="F43" s="1" t="inlineStr">
        <is>
          <t>Catalog schema; original product vision</t>
        </is>
      </c>
      <c r="G43" s="1" t="inlineStr">
        <is>
          <t>First add a small side-by-side comparison to existing picks; later pilot verified actor/couple relationships only if user requests justify them. Distinguish co-stars from romantic pairs.</t>
        </is>
      </c>
      <c r="H43" s="1" t="inlineStr">
        <is>
          <t>Comparison uses the same metadata, spoiler preferences and watched state. Actor pages contain verified relationships and distinct editorial value before indexation.</t>
        </is>
      </c>
      <c r="I43" s="1" t="inlineStr">
        <is>
          <t>3 / later</t>
        </is>
      </c>
      <c r="J43" s="1" t="inlineStr">
        <is>
          <t>M / L</t>
        </is>
      </c>
      <c r="K43" s="8" t="inlineStr">
        <is>
          <t>Comparison repaired; actor/couple discovery deferred</t>
        </is>
      </c>
      <c r="L43" s="8" t="inlineStr">
        <is>
          <t>Comparison save/watched actions preserve focus through rerendering. Direct removal controls focus a neighboring comparison or a visible original/filter control. The unsupported no-ending-spoilers promise is replaced with an explicit caveat about legacy plot prose.</t>
        </is>
      </c>
      <c r="M43" s="8" t="inlineStr">
        <is>
          <t>Actual app DOM tests for save, watched, Undo, multiple/final comparison removal and hidden original rows.</t>
        </is>
      </c>
      <c r="N43" s="8" t="inlineStr">
        <is>
          <t>Real-browser/assistive checks and a full spoiler-safe prose audit remain pending. Actor/couple data and pages are still deliberately not fabricated.</t>
        </is>
      </c>
      <c r="O43" s="8" t="inlineStr">
        <is>
          <t>Carried forward from inspected source status. Existing Node tests and fixture checks rerun as part of 254-test release; no new item-specific browser/editorial certification.</t>
        </is>
      </c>
      <c r="P43" s="8" t="inlineStr">
        <is>
          <t>2026-09-06</t>
        </is>
      </c>
    </row>
  </sheetData>
  <autoFilter ref="A1:P43"/>
  <conditionalFormatting sqref="B2:B43">
    <cfRule type="containsText" priority="1" operator="containsText" dxfId="0" text="P0">
      <formula>NOT(ISERROR(SEARCH("P0",B2)))</formula>
    </cfRule>
  </conditionalFormatting>
  <pageMargins left="0.7" right="0.7" top="0.75" bottom="0.75" header="0.3" footer="0.3"/>
  <pageSetup orientation="landscape" paperSize="8" fitToHeight="0" fitToWidth="1"/>
</worksheet>
</file>

<file path=xl/worksheets/sheet4.xml><?xml version="1.0" encoding="utf-8"?>
<worksheet xmlns="http://schemas.openxmlformats.org/spreadsheetml/2006/main">
  <sheetPr>
    <outlinePr summaryBelow="1" summaryRight="1"/>
    <pageSetUpPr/>
  </sheetPr>
  <dimension ref="A1:E7"/>
  <sheetViews>
    <sheetView workbookViewId="0">
      <pane ySplit="1" topLeftCell="A2" activePane="bottomLeft" state="frozen"/>
      <selection pane="bottomLeft" activeCell="A1" sqref="A1"/>
    </sheetView>
  </sheetViews>
  <sheetFormatPr baseColWidth="8" defaultRowHeight="76" customHeight="1"/>
  <cols>
    <col width="10.7109375" customWidth="1" style="1" min="1" max="1"/>
    <col width="38.7109375" customWidth="1" style="1" min="2" max="2"/>
    <col width="95.7109375" customWidth="1" style="1" min="3" max="3"/>
    <col width="90.7109375" customWidth="1" style="1" min="4" max="4"/>
    <col width="48.7109375" customWidth="1" style="1" min="5" max="5"/>
  </cols>
  <sheetData>
    <row r="1" ht="32" customHeight="1">
      <c r="A1" s="2" t="inlineStr">
        <is>
          <t>Phase</t>
        </is>
      </c>
      <c r="B1" s="2" t="inlineStr">
        <is>
          <t>Outcome</t>
        </is>
      </c>
      <c r="C1" s="2" t="inlineStr">
        <is>
          <t>Work</t>
        </is>
      </c>
      <c r="D1" s="2" t="inlineStr">
        <is>
          <t>Exit gate</t>
        </is>
      </c>
      <c r="E1" s="2" t="inlineStr">
        <is>
          <t>Effort (not calendar promise)</t>
        </is>
      </c>
    </row>
    <row r="2" ht="76" customHeight="1">
      <c r="A2" s="1" t="inlineStr">
        <is>
          <t>0</t>
        </is>
      </c>
      <c r="B2" s="1" t="inlineStr">
        <is>
          <t>Freeze scope and establish the baseline</t>
        </is>
      </c>
      <c r="C2" s="1" t="inlineStr">
        <is>
          <t>Confirm the latest v2 archive/commit; record main journeys and current screenshots; keep current typography, palette and URL structure. Treat domain and commercial license as resolved.</t>
        </is>
      </c>
      <c r="D2" s="1" t="inlineStr">
        <is>
          <t>Source match recorded; test data and previous deploy available for rollback.</t>
        </is>
      </c>
      <c r="E2" s="1" t="inlineStr">
        <is>
          <t>0.5-1 developer-day</t>
        </is>
      </c>
    </row>
    <row r="3" ht="76" customHeight="1">
      <c r="A3" s="1" t="inlineStr">
        <is>
          <t>1</t>
        </is>
      </c>
      <c r="B3" s="1" t="inlineStr">
        <is>
          <t>Repair correctness and basic functionality</t>
        </is>
      </c>
      <c r="C3" s="1" t="inlineStr">
        <is>
          <t>Shelf grid, storage and errors; search/keyboard states; known factual fixes and metadata safeguards; truthful region/availability wording; attribution; deployment gate; production/staging measurement separation.</t>
        </is>
      </c>
      <c r="D3" s="1" t="inlineStr">
        <is>
          <t>Search/save flows pass failure tests, known incorrect claims are fixed, no catastrophic metadata fallback can reach production.</t>
        </is>
      </c>
      <c r="E3" s="1" t="inlineStr">
        <is>
          <t>4-7 developer-days plus identity/metadata review</t>
        </is>
      </c>
    </row>
    <row r="4" ht="76" customHeight="1">
      <c r="A4" s="1" t="inlineStr">
        <is>
          <t>2</t>
        </is>
      </c>
      <c r="B4" s="1" t="inlineStr">
        <is>
          <t>Make choosing and returning easier</t>
        </is>
      </c>
      <c r="C4" s="1" t="inlineStr">
        <is>
          <t>Watched state and filter; readable row summaries; spoiler protection; time commitments; mobile order; poster sizing; consistent actions and editorial review template.</t>
        </is>
      </c>
      <c r="D4" s="1" t="inlineStr">
        <is>
          <t>User can find an unseen choice, explain the tradeoff and save it without spoilers or a dead end.</t>
        </is>
      </c>
      <c r="E4" s="1" t="inlineStr">
        <is>
          <t>4-7 developer-days plus content review</t>
        </is>
      </c>
    </row>
    <row r="5" ht="76" customHeight="1">
      <c r="A5" s="1" t="inlineStr">
        <is>
          <t>3</t>
        </is>
      </c>
      <c r="B5" s="1" t="inlineStr">
        <is>
          <t>Differentiate where it matters</t>
        </is>
      </c>
      <c r="C5" s="1" t="inlineStr">
        <is>
          <t>Pilot reason-aware ordering on five verified seed pages, then expand only if useful; optional comparison, better curated collections and correction form. Fix secondary/overlap ranking.</t>
        </is>
      </c>
      <c r="D5" s="1" t="inlineStr">
        <is>
          <t>Five drama fans complete an unseen-pick task; pilot target is 4/5 unaided within two minutes, an internal criterion rather than statistical proof.</t>
        </is>
      </c>
      <c r="E5" s="1" t="inlineStr">
        <is>
          <t>3-6 developer-days plus research</t>
        </is>
      </c>
    </row>
    <row r="6" ht="76" customHeight="1">
      <c r="A6" s="1" t="inlineStr">
        <is>
          <t>4</t>
        </is>
      </c>
      <c r="B6" s="1" t="inlineStr">
        <is>
          <t>Activate monetization deliberately</t>
        </is>
      </c>
      <c r="C6" s="1" t="inlineStr">
        <is>
          <t>Certified CMP, truthful privacy, page eligibility, restrained ad slots, filtered-state behavior, ad/no-fill testing and any independently approved affiliate links.</t>
        </is>
      </c>
      <c r="D6" s="1" t="inlineStr">
        <is>
          <t>Consent and publisher-policy checklist passes; production approval/config is ready; no overlap or misleading clicks; staging remains ad-free.</t>
        </is>
      </c>
      <c r="E6" s="1" t="inlineStr">
        <is>
          <t>2-4 developer-days plus external approval timing</t>
        </is>
      </c>
    </row>
    <row r="7" ht="76" customHeight="1">
      <c r="A7" s="1" t="inlineStr">
        <is>
          <t>5</t>
        </is>
      </c>
      <c r="B7" s="1" t="inlineStr">
        <is>
          <t>Measure, revise, then expand</t>
        </is>
      </c>
      <c r="C7" s="1" t="inlineStr">
        <is>
          <t>Collect adequate production data; compare device/country/page intent; improve pages with real impressions and search requests; add content only when review capacity allows.</t>
        </is>
      </c>
      <c r="D7" s="1" t="inlineStr">
        <is>
          <t>Decisions use explicit denominators and reviewable evidence; no forced pagination or ranking manipulation for ad inventory.</t>
        </is>
      </c>
      <c r="E7" s="1" t="inlineStr">
        <is>
          <t>Ongoing; no defensible fixed result date</t>
        </is>
      </c>
    </row>
  </sheetData>
  <autoFilter ref="A1:E7"/>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C7"/>
  <sheetViews>
    <sheetView workbookViewId="0">
      <pane ySplit="1" topLeftCell="A2" activePane="bottomLeft" state="frozen"/>
      <selection pane="bottomLeft" activeCell="A1" sqref="A1"/>
    </sheetView>
  </sheetViews>
  <sheetFormatPr baseColWidth="8" defaultRowHeight="76" customHeight="1"/>
  <cols>
    <col width="30.7109375" customWidth="1" style="1" min="1" max="1"/>
    <col width="95.7109375" customWidth="1" style="1" min="2" max="2"/>
    <col width="100.7109375" customWidth="1" style="1" min="3" max="3"/>
  </cols>
  <sheetData>
    <row r="1" ht="32" customHeight="1">
      <c r="A1" s="2" t="inlineStr">
        <is>
          <t>Page type</t>
        </is>
      </c>
      <c r="B1" s="2" t="inlineStr">
        <is>
          <t>Initial policy</t>
        </is>
      </c>
      <c r="C1" s="2" t="inlineStr">
        <is>
          <t>Guardrail</t>
        </is>
      </c>
    </row>
    <row r="2" ht="76" customHeight="1">
      <c r="A2" s="1" t="inlineStr">
        <is>
          <t>Homepage</t>
        </is>
      </c>
      <c r="B2" s="1" t="inlineStr">
        <is>
          <t>Initially none; later one below a substantive editorial block</t>
        </is>
      </c>
      <c r="C2" s="1" t="inlineStr">
        <is>
          <t>No ads in hero/search/autocomplete or positioned as recommended dramas.</t>
        </is>
      </c>
    </row>
    <row r="3" ht="76" customHeight="1">
      <c r="A3" s="1" t="inlineStr">
        <is>
          <t>Recommendation list</t>
        </is>
      </c>
      <c r="B3" s="1" t="inlineStr">
        <is>
          <t>Start with one after the initial 2-3 useful picks, based on visible content</t>
        </is>
      </c>
      <c r="C3" s="1" t="inlineStr">
        <is>
          <t>Do not break poster/summary/actions. Additional lower slot only after real usage and sufficient editorial content.</t>
        </is>
      </c>
    </row>
    <row r="4" ht="76" customHeight="1">
      <c r="A4" s="1" t="inlineStr">
        <is>
          <t>Drama detail</t>
        </is>
      </c>
      <c r="B4" s="1" t="inlineStr">
        <is>
          <t>At most one initial unit after substantial original verdict content</t>
        </is>
      </c>
      <c r="C4" s="1" t="inlineStr">
        <is>
          <t>Keep provider links and save/watched actions clearly separate. Metadata alone is not a monetization strategy.</t>
        </is>
      </c>
    </row>
    <row r="5" ht="76" customHeight="1">
      <c r="A5" s="1" t="inlineStr">
        <is>
          <t>Editorial collection</t>
        </is>
      </c>
      <c r="B5" s="1" t="inlineStr">
        <is>
          <t>One after a genuinely curated shortlist, not immediately beneath the title</t>
        </is>
      </c>
      <c r="C5" s="1" t="inlineStr">
        <is>
          <t>Regional availability and visible result count must be correct.</t>
        </is>
      </c>
    </row>
    <row r="6" ht="76" customHeight="1">
      <c r="A6" s="1" t="inlineStr">
        <is>
          <t>Shelf / watched / empty / error / utility</t>
        </is>
      </c>
      <c r="B6" s="1" t="inlineStr">
        <is>
          <t>No ads for the first version</t>
        </is>
      </c>
      <c r="C6" s="1" t="inlineStr">
        <is>
          <t>Explicit per-page tag exclusion, including Auto ads. This is a conservative product rule, not a claim every shelf is prohibited.</t>
        </is>
      </c>
    </row>
    <row r="7" ht="76" customHeight="1">
      <c r="A7" s="1" t="inlineStr">
        <is>
          <t>V2 staging</t>
        </is>
      </c>
      <c r="B7" s="1" t="inlineStr">
        <is>
          <t>No live ads</t>
        </is>
      </c>
      <c r="C7" s="1" t="inlineStr">
        <is>
          <t>Use neutral size fixtures; never click production ads to test placement.</t>
        </is>
      </c>
    </row>
  </sheetData>
  <autoFilter ref="A1:C7"/>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C10"/>
  <sheetViews>
    <sheetView workbookViewId="0">
      <pane ySplit="1" topLeftCell="A2" activePane="bottomLeft" state="frozen"/>
      <selection pane="bottomLeft" activeCell="A1" sqref="A1"/>
    </sheetView>
  </sheetViews>
  <sheetFormatPr baseColWidth="8" defaultRowHeight="76" customHeight="1"/>
  <cols>
    <col width="35.7109375" customWidth="1" style="1" min="1" max="1"/>
    <col width="90.7109375" customWidth="1" style="1" min="2" max="2"/>
    <col width="100.7109375" customWidth="1" style="1" min="3" max="3"/>
  </cols>
  <sheetData>
    <row r="1" ht="32" customHeight="1">
      <c r="A1" s="2" t="inlineStr">
        <is>
          <t>Metric</t>
        </is>
      </c>
      <c r="B1" s="2" t="inlineStr">
        <is>
          <t>Definition</t>
        </is>
      </c>
      <c r="C1" s="2" t="inlineStr">
        <is>
          <t>Interpretation / limits</t>
        </is>
      </c>
    </row>
    <row r="2" ht="76" customHeight="1">
      <c r="A2" s="1" t="inlineStr">
        <is>
          <t>Search result view rate</t>
        </is>
      </c>
      <c r="B2" s="1" t="inlineStr">
        <is>
          <t>Successful search sessions / search sessions</t>
        </is>
      </c>
      <c r="C2" s="1" t="inlineStr">
        <is>
          <t>Diagnoses findability; distinguish loaded index from failed index.</t>
        </is>
      </c>
    </row>
    <row r="3" ht="76" customHeight="1">
      <c r="A3" s="1" t="inlineStr">
        <is>
          <t>Useful decision proxy</t>
        </is>
      </c>
      <c r="B3" s="1" t="inlineStr">
        <is>
          <t>Sessions with save, provider click or explicit helped-me-choose response / eligible result sessions</t>
        </is>
      </c>
      <c r="C3" s="1" t="inlineStr">
        <is>
          <t>Report events separately as well as the deduplicated union; none proves actual viewing.</t>
        </is>
      </c>
    </row>
    <row r="4" ht="76" customHeight="1">
      <c r="A4" s="1" t="inlineStr">
        <is>
          <t>Watched-filter recovery</t>
        </is>
      </c>
      <c r="B4" s="1" t="inlineStr">
        <is>
          <t>Sessions reaching zero unseen picks and then finding another result / zero-unseen sessions</t>
        </is>
      </c>
      <c r="C4" s="1" t="inlineStr">
        <is>
          <t>Checks whether exclusions strand experienced viewers.</t>
        </is>
      </c>
    </row>
    <row r="5" ht="76" customHeight="1">
      <c r="A5" s="1" t="inlineStr">
        <is>
          <t>Save persistence success</t>
        </is>
      </c>
      <c r="B5" s="1" t="inlineStr">
        <is>
          <t>Successful verified persistence / save attempts</t>
        </is>
      </c>
      <c r="C5" s="1" t="inlineStr">
        <is>
          <t>Only instrument consent-appropriately; report blocked storage without uploading the shelf.</t>
        </is>
      </c>
    </row>
    <row r="6" ht="76" customHeight="1">
      <c r="A6" s="1" t="inlineStr">
        <is>
          <t>Page RPM</t>
        </is>
      </c>
      <c r="B6" s="1" t="inlineStr">
        <is>
          <t>Ad earnings / AdSense-reported pageviews x 1000</t>
        </is>
      </c>
      <c r="C6" s="1" t="inlineStr">
        <is>
          <t>Use matched AdSense denominators; do not mix all GA pageviews with ad-reported pageviews.</t>
        </is>
      </c>
    </row>
    <row r="7" ht="76" customHeight="1">
      <c r="A7" s="1" t="inlineStr">
        <is>
          <t>Revenue per 1000 eligible sessions</t>
        </is>
      </c>
      <c r="B7" s="1" t="inlineStr">
        <is>
          <t>Earnings / eligible sessions x 1000</t>
        </is>
      </c>
      <c r="C7" s="1" t="inlineStr">
        <is>
          <t>Requires consistent scope; useful with user-success and performance guardrails.</t>
        </is>
      </c>
    </row>
    <row r="8" ht="76" customHeight="1">
      <c r="A8" s="1" t="inlineStr">
        <is>
          <t>Core Web Vitals</t>
        </is>
      </c>
      <c r="B8" s="1" t="inlineStr">
        <is>
          <t>p75 LCP, INP and CLS by device where field data exists</t>
        </is>
      </c>
      <c r="C8" s="1" t="inlineStr">
        <is>
          <t>Targets &lt;=2.5s, &lt;=200ms, &lt;=0.1; lab checks are diagnostic, not substitutes for field data.</t>
        </is>
      </c>
    </row>
    <row r="9" ht="76" customHeight="1">
      <c r="A9" s="1" t="inlineStr">
        <is>
          <t>Search Console demand</t>
        </is>
      </c>
      <c r="B9" s="1" t="inlineStr">
        <is>
          <t>Queries, pages, impressions, clicks and position over comparable windows</t>
        </is>
      </c>
      <c r="C9" s="1" t="inlineStr">
        <is>
          <t>Do not extrapolate a single 24-hour sample or treat its mobile/desktop mix as causal.</t>
        </is>
      </c>
    </row>
    <row r="10" ht="76" customHeight="1">
      <c r="A10" s="1" t="inlineStr">
        <is>
          <t>Cash contribution</t>
        </is>
      </c>
      <c r="B10" s="1" t="inlineStr">
        <is>
          <t>Ad earnings + approved affiliate commissions - data, hosting and operating cash costs</t>
        </is>
      </c>
      <c r="C10" s="1" t="inlineStr">
        <is>
          <t>Also track owner effort separately; gross revenue is not profit.</t>
        </is>
      </c>
    </row>
  </sheetData>
  <autoFilter ref="A1:C10"/>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B21"/>
  <sheetViews>
    <sheetView workbookViewId="0">
      <pane ySplit="1" topLeftCell="A2" activePane="bottomLeft" state="frozen"/>
      <selection pane="bottomLeft" activeCell="A1" sqref="A1"/>
    </sheetView>
  </sheetViews>
  <sheetFormatPr baseColWidth="8" defaultRowHeight="76" customHeight="1"/>
  <cols>
    <col width="40.7109375" customWidth="1" style="1" min="1" max="1"/>
    <col width="110.7109375" customWidth="1" style="1" min="2" max="2"/>
  </cols>
  <sheetData>
    <row r="1" ht="32" customHeight="1">
      <c r="A1" s="2" t="inlineStr">
        <is>
          <t>Source</t>
        </is>
      </c>
      <c r="B1" s="2" t="inlineStr">
        <is>
          <t>URL</t>
        </is>
      </c>
    </row>
    <row r="2" ht="76" customHeight="1">
      <c r="A2" s="1" t="inlineStr">
        <is>
          <t>V2 homepage</t>
        </is>
      </c>
      <c r="B2" s="3" t="inlineStr">
        <is>
          <t>https://dramarecs-v2.vercel.app/</t>
        </is>
      </c>
    </row>
    <row r="3" ht="76" customHeight="1">
      <c r="A3" s="1" t="inlineStr">
        <is>
          <t>V2 recommendations</t>
        </is>
      </c>
      <c r="B3" s="3" t="inlineStr">
        <is>
          <t>https://dramarecs-v2.vercel.app/dramas-like/my-liberation-notes/</t>
        </is>
      </c>
    </row>
    <row r="4" ht="76" customHeight="1">
      <c r="A4" s="1" t="inlineStr">
        <is>
          <t>V2 detail</t>
        </is>
      </c>
      <c r="B4" s="3" t="inlineStr">
        <is>
          <t>https://dramarecs-v2.vercel.app/dramas/my-liberation-notes/</t>
        </is>
      </c>
    </row>
    <row r="5" ht="76" customHeight="1">
      <c r="A5" s="1" t="inlineStr">
        <is>
          <t>V2 shelf</t>
        </is>
      </c>
      <c r="B5" s="3" t="inlineStr">
        <is>
          <t>https://dramarecs-v2.vercel.app/my-shelf/</t>
        </is>
      </c>
    </row>
    <row r="6" ht="76" customHeight="1">
      <c r="A6" s="1" t="inlineStr">
        <is>
          <t>V2 Netflix collection</t>
        </is>
      </c>
      <c r="B6" s="3" t="inlineStr">
        <is>
          <t>https://dramarecs-v2.vercel.app/collections/best-k-dramas-on-netflix/</t>
        </is>
      </c>
    </row>
    <row r="7" ht="76" customHeight="1">
      <c r="A7" s="1" t="inlineStr">
        <is>
          <t>V2 editorial method</t>
        </is>
      </c>
      <c r="B7" s="3" t="inlineStr">
        <is>
          <t>https://dramarecs-v2.vercel.app/how-we-pick/</t>
        </is>
      </c>
    </row>
    <row r="8" ht="76" customHeight="1">
      <c r="A8" s="1" t="inlineStr">
        <is>
          <t>V2 privacy</t>
        </is>
      </c>
      <c r="B8" s="3" t="inlineStr">
        <is>
          <t>https://dramarecs-v2.vercel.app/privacy/</t>
        </is>
      </c>
    </row>
    <row r="9" ht="76" customHeight="1">
      <c r="A9" s="1" t="inlineStr">
        <is>
          <t>Netflix: Trauma Code episodes</t>
        </is>
      </c>
      <c r="B9" s="3" t="inlineStr">
        <is>
          <t>https://www.netflix.com/title/81677629</t>
        </is>
      </c>
    </row>
    <row r="10" ht="76" customHeight="1">
      <c r="A10" s="1" t="inlineStr">
        <is>
          <t>My Liberation Notes credits</t>
        </is>
      </c>
      <c r="B10" s="3" t="inlineStr">
        <is>
          <t>https://asianwiki.com/My_Liberation_Notes</t>
        </is>
      </c>
    </row>
    <row r="11" ht="76" customHeight="1">
      <c r="A11" s="1" t="inlineStr">
        <is>
          <t>Something in the Rain credits</t>
        </is>
      </c>
      <c r="B11" s="3" t="inlineStr">
        <is>
          <t>https://asianwiki.com/Something_in_the_Rain</t>
        </is>
      </c>
    </row>
    <row r="12" ht="76" customHeight="1">
      <c r="A12" s="1" t="inlineStr">
        <is>
          <t>TMDB attribution</t>
        </is>
      </c>
      <c r="B12" s="3" t="inlineStr">
        <is>
          <t>https://developer.themoviedb.org/docs/faq</t>
        </is>
      </c>
    </row>
    <row r="13" ht="76" customHeight="1">
      <c r="A13" s="1" t="inlineStr">
        <is>
          <t>JustWatch attribution</t>
        </is>
      </c>
      <c r="B13" s="3" t="inlineStr">
        <is>
          <t>https://developer.themoviedb.org/reference/tv-season-watch-providers</t>
        </is>
      </c>
    </row>
    <row r="14" ht="76" customHeight="1">
      <c r="A14" s="1" t="inlineStr">
        <is>
          <t>Google Publisher Policies</t>
        </is>
      </c>
      <c r="B14" s="3" t="inlineStr">
        <is>
          <t>https://support.google.com/adsense/answer/10502938</t>
        </is>
      </c>
    </row>
    <row r="15" ht="76" customHeight="1">
      <c r="A15" s="1" t="inlineStr">
        <is>
          <t>Google ad placement</t>
        </is>
      </c>
      <c r="B15" s="3" t="inlineStr">
        <is>
          <t>https://support.google.com/adsense/answer/1346295</t>
        </is>
      </c>
    </row>
    <row r="16" ht="76" customHeight="1">
      <c r="A16" s="1" t="inlineStr">
        <is>
          <t>Google CMP requirements</t>
        </is>
      </c>
      <c r="B16" s="3" t="inlineStr">
        <is>
          <t>https://support.google.com/adsense/answer/13554116</t>
        </is>
      </c>
    </row>
    <row r="17" ht="76" customHeight="1">
      <c r="A17" s="1" t="inlineStr">
        <is>
          <t>Google EU consent</t>
        </is>
      </c>
      <c r="B17" s="3" t="inlineStr">
        <is>
          <t>https://support.google.com/adsense/answer/7670013</t>
        </is>
      </c>
    </row>
    <row r="18" ht="76" customHeight="1">
      <c r="A18" s="1" t="inlineStr">
        <is>
          <t>Google TCF integration</t>
        </is>
      </c>
      <c r="B18" s="3" t="inlineStr">
        <is>
          <t>https://support.google.com/adsense/answer/9804260</t>
        </is>
      </c>
    </row>
    <row r="19" ht="76" customHeight="1">
      <c r="A19" s="1" t="inlineStr">
        <is>
          <t>Google Core Web Vitals</t>
        </is>
      </c>
      <c r="B19" s="3" t="inlineStr">
        <is>
          <t>https://developers.google.com/search/docs/appearance/core-web-vitals</t>
        </is>
      </c>
    </row>
    <row r="20" ht="76" customHeight="1">
      <c r="A20" s="1" t="inlineStr">
        <is>
          <t>Google AI content guidance</t>
        </is>
      </c>
      <c r="B20" s="3" t="inlineStr">
        <is>
          <t>https://developers.google.com/search/blog/2023/02/google-search-and-ai-content</t>
        </is>
      </c>
    </row>
    <row r="21" ht="76" customHeight="1">
      <c r="A21" s="1" t="inlineStr">
        <is>
          <t>Google scaled-content policy explanation</t>
        </is>
      </c>
      <c r="B21" s="3" t="inlineStr">
        <is>
          <t>https://developers.google.com/search/blog/2024/03/core-update-spam-policies</t>
        </is>
      </c>
    </row>
  </sheetData>
  <autoFilter ref="A1:B21"/>
  <hyperlinks>
    <hyperlink xmlns:r="http://schemas.openxmlformats.org/officeDocument/2006/relationships" ref="B2" r:id="rId1"/>
    <hyperlink xmlns:r="http://schemas.openxmlformats.org/officeDocument/2006/relationships" ref="B3" r:id="rId2"/>
    <hyperlink xmlns:r="http://schemas.openxmlformats.org/officeDocument/2006/relationships" ref="B4" r:id="rId3"/>
    <hyperlink xmlns:r="http://schemas.openxmlformats.org/officeDocument/2006/relationships" ref="B5" r:id="rId4"/>
    <hyperlink xmlns:r="http://schemas.openxmlformats.org/officeDocument/2006/relationships" ref="B6" r:id="rId5"/>
    <hyperlink xmlns:r="http://schemas.openxmlformats.org/officeDocument/2006/relationships" ref="B7" r:id="rId6"/>
    <hyperlink xmlns:r="http://schemas.openxmlformats.org/officeDocument/2006/relationships" ref="B8" r:id="rId7"/>
    <hyperlink xmlns:r="http://schemas.openxmlformats.org/officeDocument/2006/relationships" ref="B9" r:id="rId8"/>
    <hyperlink xmlns:r="http://schemas.openxmlformats.org/officeDocument/2006/relationships" ref="B10" r:id="rId9"/>
    <hyperlink xmlns:r="http://schemas.openxmlformats.org/officeDocument/2006/relationships" ref="B11" r:id="rId10"/>
    <hyperlink xmlns:r="http://schemas.openxmlformats.org/officeDocument/2006/relationships" ref="B12" r:id="rId11"/>
    <hyperlink xmlns:r="http://schemas.openxmlformats.org/officeDocument/2006/relationships" ref="B13" r:id="rId12"/>
    <hyperlink xmlns:r="http://schemas.openxmlformats.org/officeDocument/2006/relationships" ref="B14" r:id="rId13"/>
    <hyperlink xmlns:r="http://schemas.openxmlformats.org/officeDocument/2006/relationships" ref="B15" r:id="rId14"/>
    <hyperlink xmlns:r="http://schemas.openxmlformats.org/officeDocument/2006/relationships" ref="B16" r:id="rId15"/>
    <hyperlink xmlns:r="http://schemas.openxmlformats.org/officeDocument/2006/relationships" ref="B17" r:id="rId16"/>
    <hyperlink xmlns:r="http://schemas.openxmlformats.org/officeDocument/2006/relationships" ref="B18" r:id="rId17"/>
    <hyperlink xmlns:r="http://schemas.openxmlformats.org/officeDocument/2006/relationships" ref="B19" r:id="rId18"/>
    <hyperlink xmlns:r="http://schemas.openxmlformats.org/officeDocument/2006/relationships" ref="B20" r:id="rId19"/>
    <hyperlink xmlns:r="http://schemas.openxmlformats.org/officeDocument/2006/relationships" ref="B21" r:id="rId20"/>
  </hyperlinks>
  <pageMargins left="0.7" right="0.7" top="0.75" bottom="0.75" header="0.3" footer="0.3"/>
</worksheet>
</file>

<file path=xl/worksheets/sheet8.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cols>
    <col width="28.7109375" customWidth="1" min="1" max="1"/>
    <col width="24.7109375" customWidth="1" min="2" max="4"/>
  </cols>
  <sheetData>
    <row r="1">
      <c r="A1" s="2" t="inlineStr">
        <is>
          <t>Scenario only</t>
        </is>
      </c>
      <c r="B1" s="2" t="inlineStr">
        <is>
          <t>Page RPM (USD)</t>
        </is>
      </c>
      <c r="C1" s="2" t="inlineStr">
        <is>
          <t>Gross target (USD)</t>
        </is>
      </c>
      <c r="D1" s="2" t="inlineStr">
        <is>
          <t>Ad pageviews required</t>
        </is>
      </c>
    </row>
    <row r="2">
      <c r="A2" t="inlineStr">
        <is>
          <t>Illustration, not forecast</t>
        </is>
      </c>
      <c r="B2" s="4" t="n">
        <v>2</v>
      </c>
      <c r="C2" s="4" t="n">
        <v>179</v>
      </c>
      <c r="D2" s="9">
        <f>ROUNDUP(C2/B2*1000,0)</f>
        <v/>
      </c>
    </row>
    <row r="3">
      <c r="A3" t="inlineStr">
        <is>
          <t>Illustration, not forecast</t>
        </is>
      </c>
      <c r="B3" s="4" t="n">
        <v>5</v>
      </c>
      <c r="C3" s="4" t="n">
        <v>179</v>
      </c>
      <c r="D3" s="9">
        <f>ROUNDUP(C3/B3*1000,0)</f>
        <v/>
      </c>
    </row>
    <row r="4">
      <c r="A4" t="inlineStr">
        <is>
          <t>Illustration, not forecast</t>
        </is>
      </c>
      <c r="B4" s="4" t="n">
        <v>10</v>
      </c>
      <c r="C4" s="4" t="n">
        <v>179</v>
      </c>
      <c r="D4" s="9">
        <f>ROUNDUP(C4/B4*1000,0)</f>
        <v/>
      </c>
    </row>
    <row r="6">
      <c r="A6" s="1" t="inlineStr">
        <is>
          <t>Use matched AdSense pageview denominators. Gross earnings exclude all costs. Private license prices, future RPM and affiliate conversion rates are unknown. Do not infer any predicted income from this table.</t>
        </is>
      </c>
    </row>
    <row r="7"/>
    <row r="8"/>
  </sheetData>
  <mergeCells count="1">
    <mergeCell ref="A6:D8"/>
  </mergeCells>
  <pageMargins left="0.7" right="0.7" top="0.75" bottom="0.75" header="0.3" footer="0.3"/>
</worksheet>
</file>

<file path=xl/worksheets/sheet9.xml><?xml version="1.0" encoding="utf-8"?>
<worksheet xmlns="http://schemas.openxmlformats.org/spreadsheetml/2006/main">
  <sheetPr>
    <outlinePr summaryBelow="1" summaryRight="1"/>
    <pageSetUpPr fitToPage="1"/>
  </sheetPr>
  <dimension ref="A1:F11"/>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5" customWidth="1" min="1" max="1"/>
    <col width="24" customWidth="1" min="2" max="2"/>
    <col width="52" customWidth="1" min="3" max="3"/>
    <col width="40" customWidth="1" min="4" max="4"/>
    <col width="90" customWidth="1" min="5" max="5"/>
    <col width="60" customWidth="1" min="6" max="6"/>
  </cols>
  <sheetData>
    <row r="1" ht="32" customHeight="1">
      <c r="A1" s="6" t="inlineStr">
        <is>
          <t>Repair</t>
        </is>
      </c>
      <c r="B1" s="6" t="inlineStr">
        <is>
          <t>Backlog IDs</t>
        </is>
      </c>
      <c r="C1" s="6" t="inlineStr">
        <is>
          <t>Target</t>
        </is>
      </c>
      <c r="D1" s="6" t="inlineStr">
        <is>
          <t>Changed code path</t>
        </is>
      </c>
      <c r="E1" s="6" t="inlineStr">
        <is>
          <t>Verified behavior</t>
        </is>
      </c>
      <c r="F1" s="6" t="inlineStr">
        <is>
          <t>Status</t>
        </is>
      </c>
    </row>
    <row r="2" ht="85" customHeight="1">
      <c r="A2" s="7" t="inlineStr">
        <is>
          <t>B10-01</t>
        </is>
      </c>
      <c r="B2" s="7" t="inlineStr">
        <is>
          <t>DR-01 / DR-37</t>
        </is>
      </c>
      <c r="C2" s="7" t="inlineStr">
        <is>
          <t>Browser fixture origin guard and seed readback</t>
        </is>
      </c>
      <c r="D2" s="7" t="inlineStr">
        <is>
          <t>tests/browser-smoke.mjs</t>
        </is>
      </c>
      <c r="E2" s="7" t="inlineStr">
        <is>
          <t>Skips opaque/unrelated origins; actual-origin denial and discarded writes surface; existing state retained.</t>
        </is>
      </c>
      <c r="F2" s="7" t="inlineStr">
        <is>
          <t>Implemented; Node regression passes; real-browser checks pending where applicable</t>
        </is>
      </c>
    </row>
    <row r="3" ht="85" customHeight="1">
      <c r="A3" s="8" t="inlineStr">
        <is>
          <t>B10-02</t>
        </is>
      </c>
      <c r="B3" s="8" t="inlineStr">
        <is>
          <t>DR-06</t>
        </is>
      </c>
      <c r="C3" s="8" t="inlineStr">
        <is>
          <t>Reject oversized shared shelves</t>
        </is>
      </c>
      <c r="D3" s="8" t="inlineStr">
        <is>
          <t>src/core.js</t>
        </is>
      </c>
      <c r="E3" s="8" t="inlineStr">
        <is>
          <t>500 valid unique slugs accepted; 501 rejected without partial import.</t>
        </is>
      </c>
      <c r="F3" s="8" t="inlineStr">
        <is>
          <t>Implemented; Node regression passes; real-browser checks pending where applicable</t>
        </is>
      </c>
    </row>
    <row r="4" ht="85" customHeight="1">
      <c r="A4" s="7" t="inlineStr">
        <is>
          <t>B10-03</t>
        </is>
      </c>
      <c r="B4" s="7" t="inlineStr">
        <is>
          <t>DR-06</t>
        </is>
      </c>
      <c r="C4" s="7" t="inlineStr">
        <is>
          <t>Synchronous clipboard failures and missing API</t>
        </is>
      </c>
      <c r="D4" s="7" t="inlineStr">
        <is>
          <t>src/app.js</t>
        </is>
      </c>
      <c r="E4" s="7" t="inlineStr">
        <is>
          <t>Getter/write throws and promise rejection keep a copyable field and manual instructions.</t>
        </is>
      </c>
      <c r="F4" s="7" t="inlineStr">
        <is>
          <t>Implemented; Node regression passes; real-browser checks pending where applicable</t>
        </is>
      </c>
    </row>
    <row r="5" ht="85" customHeight="1">
      <c r="A5" s="8" t="inlineStr">
        <is>
          <t>B10-04</t>
        </is>
      </c>
      <c r="B5" s="8" t="inlineStr">
        <is>
          <t>DR-06</t>
        </is>
      </c>
      <c r="C5" s="8" t="inlineStr">
        <is>
          <t>Stale clipboard completion across navigation</t>
        </is>
      </c>
      <c r="D5" s="8" t="inlineStr">
        <is>
          <t>src/app.js</t>
        </is>
      </c>
      <c r="E5" s="8" t="inlineStr">
        <is>
          <t>Navigation and copy-attempt sequence invalidates old success/failure feedback, including return to same hash.</t>
        </is>
      </c>
      <c r="F5" s="8" t="inlineStr">
        <is>
          <t>Implemented; Node regression passes; real-browser checks pending where applicable</t>
        </is>
      </c>
    </row>
    <row r="6" ht="85" customHeight="1">
      <c r="A6" s="7" t="inlineStr">
        <is>
          <t>B10-05</t>
        </is>
      </c>
      <c r="B6" s="7" t="inlineStr">
        <is>
          <t>DR-22</t>
        </is>
      </c>
      <c r="C6" s="7" t="inlineStr">
        <is>
          <t>Recommendation array and entry schema</t>
        </is>
      </c>
      <c r="D6" s="7" t="inlineStr">
        <is>
          <t>tools/validate-pages.mjs</t>
        </is>
      </c>
      <c r="E6" s="7" t="inlineStr">
        <is>
          <t>Malformed picks/against and entries return field diagnostics, not method/type crashes.</t>
        </is>
      </c>
      <c r="F6" s="7" t="inlineStr">
        <is>
          <t>Implemented; Node regression passes; real-browser checks pending where applicable</t>
        </is>
      </c>
    </row>
    <row r="7" ht="85" customHeight="1">
      <c r="A7" s="8" t="inlineStr">
        <is>
          <t>B10-06</t>
        </is>
      </c>
      <c r="B7" s="8" t="inlineStr">
        <is>
          <t>DR-22</t>
        </is>
      </c>
      <c r="C7" s="8" t="inlineStr">
        <is>
          <t>Calendar-valid recommendation review dates</t>
        </is>
      </c>
      <c r="D7" s="8" t="inlineStr">
        <is>
          <t>tools/validate-pages.mjs</t>
        </is>
      </c>
      <c r="E7" s="8" t="inlineStr">
        <is>
          <t>Real YYYY-MM-DD required; impossible/future dates rejected with bounded date-only time-zone allowance.</t>
        </is>
      </c>
      <c r="F7" s="8" t="inlineStr">
        <is>
          <t>Implemented; Node regression passes; real-browser checks pending where applicable</t>
        </is>
      </c>
    </row>
    <row r="8" ht="85" customHeight="1">
      <c r="A8" s="7" t="inlineStr">
        <is>
          <t>B10-07</t>
        </is>
      </c>
      <c r="B8" s="7" t="inlineStr">
        <is>
          <t>DR-22</t>
        </is>
      </c>
      <c r="C8" s="7" t="inlineStr">
        <is>
          <t>Prose field type validation</t>
        </is>
      </c>
      <c r="D8" s="7" t="inlineStr">
        <is>
          <t>tools/validate-pages.mjs</t>
        </is>
      </c>
      <c r="E8" s="7" t="inlineStr">
        <is>
          <t>Non-string standfirst, pick/anti-pick why and catalog verdict/endingText/hookNote rejected before lint.</t>
        </is>
      </c>
      <c r="F8" s="7" t="inlineStr">
        <is>
          <t>Implemented; Node regression passes; real-browser checks pending where applicable</t>
        </is>
      </c>
    </row>
    <row r="9" ht="85" customHeight="1">
      <c r="A9" s="8" t="inlineStr">
        <is>
          <t>B10-08</t>
        </is>
      </c>
      <c r="B9" s="8" t="inlineStr">
        <is>
          <t>DR-19 / DR-22</t>
        </is>
      </c>
      <c r="C9" s="8" t="inlineStr">
        <is>
          <t>Positive whole season identifiers</t>
        </is>
      </c>
      <c r="D9" s="8" t="inlineStr">
        <is>
          <t>tools/validate-pages.mjs</t>
        </is>
      </c>
      <c r="E9" s="8" t="inlineStr">
        <is>
          <t>Explicit season requires positive safe integer and existing parent/label rules.</t>
        </is>
      </c>
      <c r="F9" s="8" t="inlineStr">
        <is>
          <t>Implemented; Node regression passes; real-browser checks pending where applicable</t>
        </is>
      </c>
    </row>
    <row r="10" ht="85" customHeight="1">
      <c r="A10" s="7" t="inlineStr">
        <is>
          <t>B10-09</t>
        </is>
      </c>
      <c r="B10" s="7" t="inlineStr">
        <is>
          <t>DR-20</t>
        </is>
      </c>
      <c r="C10" s="7" t="inlineStr">
        <is>
          <t>Explicit invalid TMDB IDs</t>
        </is>
      </c>
      <c r="D10" s="7" t="inlineStr">
        <is>
          <t>tools/validate-data.mjs</t>
        </is>
      </c>
      <c r="E10" s="7" t="inlineStr">
        <is>
          <t>Explicit zero/null/false/string/fractional/negative IDs rejected; absent or positive safe integer allowed.</t>
        </is>
      </c>
      <c r="F10" s="7" t="inlineStr">
        <is>
          <t>Implemented; Node regression passes; real-browser checks pending where applicable</t>
        </is>
      </c>
    </row>
    <row r="11" ht="85" customHeight="1">
      <c r="A11" s="8" t="inlineStr">
        <is>
          <t>B10-10</t>
        </is>
      </c>
      <c r="B11" s="8" t="inlineStr">
        <is>
          <t>DR-22</t>
        </is>
      </c>
      <c r="C11" s="8" t="inlineStr">
        <is>
          <t>Full catalog-title exemption from filler lint</t>
        </is>
      </c>
      <c r="D11" s="8" t="inlineStr">
        <is>
          <t>tools/validate-pages.mjs</t>
        </is>
      </c>
      <c r="E11" s="8" t="inlineStr">
        <is>
          <t>Captivating the King allowed in prose; unrelated masterpiece or partial title Captivating the Kingdom still rejected.</t>
        </is>
      </c>
      <c r="F11" s="8" t="inlineStr">
        <is>
          <t>Implemented; Node regression passes; real-browser checks pending where applicable</t>
        </is>
      </c>
    </row>
  </sheetData>
  <autoFilter ref="A1:F11"/>
  <pageMargins left="0.75" right="0.75" top="1" bottom="1" header="0.5" footer="0.5"/>
  <pageSetup orientation="landscape" paperSize="8"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terms:created xmlns:dcterms="http://purl.org/dc/terms/" xmlns:xsi="http://www.w3.org/2001/XMLSchema-instance" xsi:type="dcterms:W3CDTF">2026-09-05T19:52:23Z</dcterms:created>
  <dcterms:modified xmlns:dcterms="http://purl.org/dc/terms/" xmlns:xsi="http://www.w3.org/2001/XMLSchema-instance" xsi:type="dcterms:W3CDTF">2026-09-06T10:17:38Z</dcterms:modified>
</cp:coreProperties>
</file>