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first" sheetId="1" r:id="rId1"/>
    <sheet name="Backlog" sheetId="2" r:id="rId2"/>
    <sheet name="Phases" sheetId="3" r:id="rId3"/>
    <sheet name="Ad placement" sheetId="4" r:id="rId4"/>
    <sheet name="Metrics" sheetId="5" r:id="rId5"/>
    <sheet name="Sources" sheetId="6" r:id="rId6"/>
    <sheet name="Economics" sheetId="7" r:id="rId7"/>
  </sheets>
  <definedNames>
    <definedName name="_xlnm._FilterDatabase" localSheetId="3" hidden="1">'Ad placement'!$A$1:$C$7</definedName>
    <definedName name="_xlnm._FilterDatabase" localSheetId="1" hidden="1">Backlog!$A$1:$K$43</definedName>
    <definedName name="_xlnm._FilterDatabase" localSheetId="4" hidden="1">Metrics!$A$1:$C$10</definedName>
    <definedName name="_xlnm._FilterDatabase" localSheetId="2" hidden="1">Phases!$A$1:$E$7</definedName>
    <definedName name="_xlnm._FilterDatabase" localSheetId="0" hidden="1">'Read first'!$A$1:$B$7</definedName>
    <definedName name="_xlnm._FilterDatabase" localSheetId="5" hidden="1">Sources!$A$1:$B$21</definedName>
  </definedNames>
  <calcPr calcId="124519" fullCalcOnLoad="1"/>
</workbook>
</file>

<file path=xl/sharedStrings.xml><?xml version="1.0" encoding="utf-8"?>
<sst xmlns="http://schemas.openxmlformats.org/spreadsheetml/2006/main" count="623" uniqueCount="444">
  <si>
    <t>Topic</t>
  </si>
  <si>
    <t>Scope / decision</t>
  </si>
  <si>
    <t>Baseline</t>
  </si>
  <si>
    <t>Keep current MARQUEE design and fonts. No code/deployment changes made. Domain and commercial license treated as resolved.</t>
  </si>
  <si>
    <t>Fresh inventory</t>
  </si>
  <si>
    <t>219 titles, 152 recommendation lists, validator 0 errors / 41 warnings. No-token build reports 388 sitemap entries. Historical 129/37 counts are superseded.</t>
  </si>
  <si>
    <t>Evidence limits</t>
  </si>
  <si>
    <t>Supplied main archive is not verified as latest v2. Public text sampled. Functional tests use DOM mocks. No real-browser rendering, live CWV, full 219-title fact check or private analytics inspection.</t>
  </si>
  <si>
    <t>Historical analytics</t>
  </si>
  <si>
    <t>Project notes report 13 active users / 25 pageviews over 7 days and 58 Search Console impressions / 0 clicks over 24 hours. Not independent evidence; new-user wording conflicts; bot inference from cities is rejected.</t>
  </si>
  <si>
    <t>Priorities</t>
  </si>
  <si>
    <t>P0 before ads = monetization gate; P1 = repair cycle; P2 = later/bundled. S/M/L = relative effort. All rows proposed.</t>
  </si>
  <si>
    <t>Before implementation</t>
  </si>
  <si>
    <t>Obtain latest v2 archive/revision and record current screenshots/rollback. Do not silently patch the older snapshot into v2.</t>
  </si>
  <si>
    <t>ID</t>
  </si>
  <si>
    <t>Priority</t>
  </si>
  <si>
    <t>Area</t>
  </si>
  <si>
    <t>Finding</t>
  </si>
  <si>
    <t>Evidence</t>
  </si>
  <si>
    <t>Location</t>
  </si>
  <si>
    <t>Fix</t>
  </si>
  <si>
    <t>Acceptance</t>
  </si>
  <si>
    <t>Phase</t>
  </si>
  <si>
    <t>Size</t>
  </si>
  <si>
    <t>Status</t>
  </si>
  <si>
    <t>DR-01</t>
  </si>
  <si>
    <t>P1</t>
  </si>
  <si>
    <t>Shelf</t>
  </si>
  <si>
    <t>Saved posters lose the intended grid</t>
  </si>
  <si>
    <t>Confirmed source; user-reported desktop symptom</t>
  </si>
  <si>
    <t>src/app.js: shelfmount; src/styles.css: .gridlist</t>
  </si>
  <si>
    <t>Use the same grid class for skeleton and populated states; constrain shelf item widths and preserve poster aspect ratio. Do not redesign the whole site.</t>
  </si>
  <si>
    <t>At 360, 390, 768, 1366 and 1440 CSS px, test 0/1/2/6/30 saved titles. Desktop posters stay within the chosen 160-200px target range; one item never stretches across the container; no horizontal page overflow.</t>
  </si>
  <si>
    <t>1</t>
  </si>
  <si>
    <t>S</t>
  </si>
  <si>
    <t>Proposed; not implemented</t>
  </si>
  <si>
    <t>DR-02</t>
  </si>
  <si>
    <t>Watched-state exclusion does not exist</t>
  </si>
  <si>
    <t>Confirmed source / requested feature</t>
  </si>
  <si>
    <t>src/app.js: shelf and refine; build.mjs: recRow</t>
  </si>
  <si>
    <t>Introduce independent saved and watched states keyed by stable slug. Add Already watched and persistent Hide dramas I’ve watched. Keep explicit title search results visible with a Watched badge.</t>
  </si>
  <si>
    <t>Mark a recommendation watched, refresh and visit another list: it stays excluded when the filter is on. Turning the filter off restores it. Saving is not silently removed.</t>
  </si>
  <si>
    <t>2</t>
  </si>
  <si>
    <t>M</t>
  </si>
  <si>
    <t>DR-03</t>
  </si>
  <si>
    <t>Shelf requires a detour to remove titles</t>
  </si>
  <si>
    <t>Confirmed source</t>
  </si>
  <si>
    <t>src/app.js: rendered .gitem anchor</t>
  </si>
  <si>
    <t>Use a semantic item containing a poster/title link and separate Remove and Mark watched buttons. Include Undo; avoid nested buttons inside links.</t>
  </si>
  <si>
    <t>Remove without opening the detail page, undo it, and use all actions with the keyboard. Shared shelves do not overwrite the reader’s own shelf.</t>
  </si>
  <si>
    <t>DR-04</t>
  </si>
  <si>
    <t>Reliability</t>
  </si>
  <si>
    <t>Malformed stored state and blocked writes break saving</t>
  </si>
  <si>
    <t>Reproduced in isolated Node DOM mock</t>
  </si>
  <si>
    <t>src/app.js: shelf(), localStorage.setItem</t>
  </si>
  <si>
    <t>Validate array shape and slug values, version stored data, catch every storage read/write, keep in-memory fallback and explain session-only persistence. Preserve existing sd.shelf data during migration.</t>
  </si>
  <si>
    <t>JSON object instead of array, invalid JSON, denied storage and quota failure do not throw uncaught exceptions. Save state and feedback remain truthful.</t>
  </si>
  <si>
    <t>DR-05</t>
  </si>
  <si>
    <t>Shelf can remain loading after a failed fetch</t>
  </si>
  <si>
    <t>Confirmed missing failure handler; not a live failure claim</t>
  </si>
  <si>
    <t>src/app.js: shelf fetch; build.mjs: shelf skeleton</t>
  </si>
  <si>
    <t>Handle HTTP errors, timeout and invalid JSON. Show Retry and retain saved IDs. Add a useful no-JavaScript explanation.</t>
  </si>
  <si>
    <t>Simulated 500, timeout and malformed index produce an actionable error, not an endless skeleton or false empty shelf.</t>
  </si>
  <si>
    <t>DR-06</t>
  </si>
  <si>
    <t>P2</t>
  </si>
  <si>
    <t>Shared links and clipboard fallback are fragile</t>
  </si>
  <si>
    <t>Malformed encoded hash reproduced; source review</t>
  </si>
  <si>
    <t>src/app.js: sharedSlugs(), shelfshare</t>
  </si>
  <si>
    <t>Catch URI decoding errors, validate/deduplicate shared slugs, bound input length, disclose that anyone with the link sees titles. Offer a persistent copyable text field when clipboard fails.</t>
  </si>
  <si>
    <t>Malformed share link does not crash. A blocked clipboard still permits manual copying. Import merges valid titles only and leaves the original shelf intact.</t>
  </si>
  <si>
    <t>DR-07</t>
  </si>
  <si>
    <t>Search</t>
  </si>
  <si>
    <t>Early typing is ignored after the search index loads</t>
  </si>
  <si>
    <t>Reproduced: 0 suggestion markup after load; appears after another input</t>
  </si>
  <si>
    <t>src/app.js: search fetch and draw</t>
  </si>
  <si>
    <t>Rerun search after loading resolves; show loading and retry states; distinguish index failure from no match.</t>
  </si>
  <si>
    <t>Type before a delayed fetch resolves: results appear without another keystroke. Failed fetch gives Retry rather than claiming the title is unwritten.</t>
  </si>
  <si>
    <t>DR-08</t>
  </si>
  <si>
    <t>Natural queries and result labels are confusing</t>
  </si>
  <si>
    <t>Phrase miss reproduced; source and fetched homepage</t>
  </si>
  <si>
    <t>src/app.js: nrm(), score(), target()</t>
  </si>
  <si>
    <t>Normalize phrases such as dramas like; preserve aliases/typos; replace written with Similar-drama list or Review. Distinguish search input intent without silently substituting unrelated titles.</t>
  </si>
  <si>
    <t>Title, known alias, one typo and dramas like my liberation notes work. Review-only results clearly identify their destination before navigation.</t>
  </si>
  <si>
    <t>DR-09</t>
  </si>
  <si>
    <t>Accessibility</t>
  </si>
  <si>
    <t>Search visual and assistive states diverge</t>
  </si>
  <si>
    <t>Reproduced: no active descendant; Escape leaves expanded=true</t>
  </si>
  <si>
    <t>src/app.js: draw and keydown</t>
  </si>
  <si>
    <t>Implement combobox option IDs, selected state and aria-activedescendant. Reset open state on every close path. Make no-result alternatives accessible by keyboard.</t>
  </si>
  <si>
    <t>Keyboard tests pass; screen-reader test announces the selected option and correct expanded/collapsed state.</t>
  </si>
  <si>
    <t>DR-10</t>
  </si>
  <si>
    <t>Reading</t>
  </si>
  <si>
    <t>Do not squeeze decision copy into three desktop columns</t>
  </si>
  <si>
    <t>User feedback on rejected concept; recommendation for current design</t>
  </si>
  <si>
    <t>Existing .rec, .why, .recbody; rejected Afterglow concept</t>
  </si>
  <si>
    <t>Retain current poster-plus-wide-text rows and fonts. Put one-sentence fit, one-sentence caveat and commitment first; move fuller editorial into a native expandable section or detail page.</t>
  </si>
  <si>
    <t>At laptop widths, decision copy has comfortable measure and no fixed-height clipping. At mobile widths long copy can move below the poster rather than squeezing beside it.</t>
  </si>
  <si>
    <t>DR-11</t>
  </si>
  <si>
    <t>Personalization</t>
  </si>
  <si>
    <t>The page decides why someone liked the seed</t>
  </si>
  <si>
    <t>Confirmed v2 wording and fixed-list schema</t>
  </si>
  <si>
    <t>My Liberation Notes standfirst; data/pages/*.json</t>
  </si>
  <si>
    <t>Replace prescriptive lead-ins such as it was not the romance. Add 2-4 seed-specific reasons that rerank reviewed relationships, not generic genre scores. Always allow the original editorial order.</t>
  </si>
  <si>
    <t>Different supported reasons change order meaningfully and show a matching explanation. Unsupported reasons do not claim a match.</t>
  </si>
  <si>
    <t>3</t>
  </si>
  <si>
    <t>L</t>
  </si>
  <si>
    <t>DR-12</t>
  </si>
  <si>
    <t>Percentages suggest precision without a method that supports it</t>
  </si>
  <si>
    <t>Computed: 46 of 152 lists use 96/91/86/81/76/71</t>
  </si>
  <si>
    <t>data/pages/*.json; matchbar template</t>
  </si>
  <si>
    <t>Replace percentages with editorial ordering and specific fit labels. Do not simply rename arbitrary numeric scores as confidence.</t>
  </si>
  <si>
    <t>No probability-like percentage is presented. Each leading pick explains its shared quality and principal mismatch.</t>
  </si>
  <si>
    <t>DR-13</t>
  </si>
  <si>
    <t>Secondary recommendations use input order, not best fit</t>
  </si>
  <si>
    <t>build.mjs: alsoLike construction</t>
  </si>
  <si>
    <t>Prefer a title’s own curated list, then use a documented, stable fallback relationship ranking with visible reasons.</t>
  </si>
  <si>
    <t>Reordering source files does not change secondary recommendations. Fallback picks have an understandable shared thread.</t>
  </si>
  <si>
    <t>DR-14</t>
  </si>
  <si>
    <t>Editorial</t>
  </si>
  <si>
    <t>Anti-picks turn taste into a universal verdict</t>
  </si>
  <si>
    <t>Confirmed v2 copy and validator constraint</t>
  </si>
  <si>
    <t>Commonly suggested, and wrong; tools/validate-pages.mjs</t>
  </si>
  <si>
    <t>Make exclusions conditional on the desired feeling. Allow zero to three justified anti-picks instead of demanding three on every list.</t>
  </si>
  <si>
    <t>Every negative comparison names the mismatch. Legitimate directional recommendations remain possible.</t>
  </si>
  <si>
    <t>DR-15</t>
  </si>
  <si>
    <t>Spoilers</t>
  </si>
  <si>
    <t>Ending labels and ending commentary leak before reveal</t>
  </si>
  <si>
    <t>Confirmed v2 collections/detail/list; source</t>
  </si>
  <si>
    <t>spoiler button, hubCard, verdict text</t>
  </si>
  <si>
    <t>Default to hiding ending tone and detail, with a saved preference for readers who want tone labels. Separate ending commentary from spoiler-safe verdict. Reveal and hide must both work.</t>
  </si>
  <si>
    <t>No ending outcomes appear in ordinary cards, search labels or verdicts while spoiler-safe mode is on. Outcome-specific collections give a clear warning before deliberate entry.</t>
  </si>
  <si>
    <t>DR-16</t>
  </si>
  <si>
    <t>Usability</t>
  </si>
  <si>
    <t>Episode count is a poor and inconsistent commitment filter</t>
  </si>
  <si>
    <t>Confirmed source: Under 16 versus One weekend &lt;=12</t>
  </si>
  <si>
    <t>src/app.js: tests.short; build.mjs: HUBS and recmeta</t>
  </si>
  <si>
    <t>First fix duration data, then use approximate total viewing hours or clearly defined episode filters. Label approximation and season scope.</t>
  </si>
  <si>
    <t>A 12-episode series with long episodes does not automatically get called a short weekend watch. All pages use consistent units.</t>
  </si>
  <si>
    <t>DR-17</t>
  </si>
  <si>
    <t>Mobile</t>
  </si>
  <si>
    <t>Detail-page source order prioritizes ancillary facts</t>
  </si>
  <si>
    <t>Confirmed source order; visual impact not browser-tested</t>
  </si>
  <si>
    <t>build.mjs: pageDetail; .detail responsive CSS</t>
  </si>
  <si>
    <t>Keep title and short verdict before extended facts on mobile. Test stacked sticky header/filter/mobile controls together; reserve viewport space for reading.</t>
  </si>
  <si>
    <t>360px and 200% zoom still show the decision summary before a long fact block. No fixed/sticky control obscures focused elements.</t>
  </si>
  <si>
    <t>DR-18</t>
  </si>
  <si>
    <t>Incorrect director comparison survives on v2</t>
  </si>
  <si>
    <t>Verified deployed text against credit listings</t>
  </si>
  <si>
    <t>My Liberation Notes anti-pick: Something in the Rain</t>
  </si>
  <si>
    <t>Remove same director; verify credits against traceable references. Kim Suk-Yoon and An Pan-Seok are different directors.</t>
  </si>
  <si>
    <t>Corrected claim with source URLs in the editorial record; audit other same writer/director/cast claims.</t>
  </si>
  <si>
    <t>DR-19</t>
  </si>
  <si>
    <t>Metadata</t>
  </si>
  <si>
    <t>TMDB enrichment can overwrite correct episode data</t>
  </si>
  <si>
    <t>Verified v2 mismatch; confirmed source overwrite</t>
  </si>
  <si>
    <t>enrich(); Netflix collection; Trauma Code</t>
  </si>
  <si>
    <t>Pin verified TMDB IDs; protect approved overrides; distinguish series, season, split broadcast and combined streaming episodes. Define precedence explicitly.</t>
  </si>
  <si>
    <t>Trauma Code displays 8 episodes; all pages agree. Series totals cannot silently overwrite a season-specific review. Metadata changes are reviewable.</t>
  </si>
  <si>
    <t>DR-20</t>
  </si>
  <si>
    <t>No catalog entry pins a TMDB ID</t>
  </si>
  <si>
    <t>Computed source inventory: 0 of 219 entries have tmdb_id</t>
  </si>
  <si>
    <t>data/dramas.json; enrich() first-result fallback</t>
  </si>
  <si>
    <t>Resolve and review title IDs, year/country/season alignment. On ambiguous results, retain last verified identity rather than trusting the first search hit.</t>
  </si>
  <si>
    <t>Every monetized title has a verified identity mapping or an explicit unverified state; metadata from a similarly named show cannot silently publish.</t>
  </si>
  <si>
    <t>DR-21</t>
  </si>
  <si>
    <t>Trust</t>
  </si>
  <si>
    <t>Research status and production wording do not consistently match</t>
  </si>
  <si>
    <t>Source sample plus contradictory project notes; not a claim that all writing is false</t>
  </si>
  <si>
    <t>Melo Movie verdict; PROJECT-STATE.json research status; how-we-pick</t>
  </si>
  <si>
    <t>Remove in this batch and source or remove numeric superlatives. Keep accurate process wording and review scope; no forced AI badge assumed, but hand-written must not misrepresent AI-assisted drafts.</t>
  </si>
  <si>
    <t>No internal batch language. Factual claims have provenance. Completion claims distinguish researched review from personal full viewing and partially aired material.</t>
  </si>
  <si>
    <t>DR-22</t>
  </si>
  <si>
    <t>Validator discourages evidence attribution rather than verifying it</t>
  </si>
  <si>
    <t>Confirmed source rules</t>
  </si>
  <si>
    <t>tools/validate-pages.mjs: ATTRIBUTION, BANNED, JSON.stringify(page)</t>
  </si>
  <si>
    <t>Separate concise editorial voice from sourced reception reporting. Require sources for factual/statistical claims, allow attributed reporting when useful, scope prose lint to prose fields only.</t>
  </si>
  <si>
    <t>Captivating the King is allowed as a title. Unsupported factual claims and missing required sources fail the relevant review gate, not merely banned adjectives.</t>
  </si>
  <si>
    <t>DR-23</t>
  </si>
  <si>
    <t>Streaming</t>
  </si>
  <si>
    <t>No data is rendered as definitely unavailable</t>
  </si>
  <si>
    <t>Confirmed source and deployed wording</t>
  </si>
  <si>
    <t>provChips; client paint(); Live recommendation</t>
  </si>
  <si>
    <t>Use available, availability unconfirmed, stale and error states. A missing provider result alone must not prove global or regional unavailability.</t>
  </si>
  <si>
    <t>Simulated missing/failed provider response says availability unconfirmed, retains last-good data when applicable, and offers a source check.</t>
  </si>
  <si>
    <t>DR-24</t>
  </si>
  <si>
    <t>Netflix collection contradicts its regional promise</t>
  </si>
  <si>
    <t>Confirmed v2 text and source membership</t>
  </si>
  <si>
    <t>best-k-dramas-on-netflix; pageHub/HUBS</t>
  </si>
  <si>
    <t>Immediately label the existing collection Netflix US/default-region correctly; later filter membership and counts using the chosen region. Show checked-at date rather than today without a freshness guarantee.</t>
  </si>
  <si>
    <t>Region changes update membership and count, or the entire page clearly states a fixed region. Unknown coverage is not empty availability.</t>
  </si>
  <si>
    <t>DR-25</t>
  </si>
  <si>
    <t>Normalization can erase how a subscription is sold</t>
  </si>
  <si>
    <t>Confirmed code behavior; catalog impact not quantified</t>
  </si>
  <si>
    <t>brandOf(), pickProviders()</t>
  </si>
  <si>
    <t>Retain provider IDs, purchase model and channel/reseller identity. Separate standalone services from add-on channels; expose additional options instead of dropping all after the first four.</t>
  </si>
  <si>
    <t>A service sold through an Amazon/Apple/Roku channel is not advertised as the standalone subscription. Filtering uses full normalized provider data, not just visible chips.</t>
  </si>
  <si>
    <t>DR-26</t>
  </si>
  <si>
    <t>Provider search pages look like direct viewing links</t>
  </si>
  <si>
    <t>Confirmed source destination templates</t>
  </si>
  <si>
    <t>providerTarget(), watchHref(), WATCH_TABLE</t>
  </si>
  <si>
    <t>Label search destinations Search Netflix/Viki, label source aggregators Check availability, and use verified direct title links when supported. Keep one shared link resolver.</t>
  </si>
  <si>
    <t>Destination labels match where the reader lands. Paid links use approved regional tracking and accurate nearby disclosure.</t>
  </si>
  <si>
    <t>DR-27</t>
  </si>
  <si>
    <t>Successful builds can publish degraded metadata</t>
  </si>
  <si>
    <t>Local no-token build succeeded with all posters absent; no live outage implied</t>
  </si>
  <si>
    <t>tmdb cache, enrich, build main</t>
  </si>
  <si>
    <t>Add timeouts, retry/backoff, explicit TTLs, persistent last-good snapshots and production quality gates. Separate intentional fixture builds from production builds.</t>
  </si>
  <si>
    <t>Production cannot release a catastrophic loss of posters/providers due to a failed upstream request. Stale data is dated; local development remains possible without a token.</t>
  </si>
  <si>
    <t>DR-28</t>
  </si>
  <si>
    <t>P0 before ads</t>
  </si>
  <si>
    <t>Attribution</t>
  </si>
  <si>
    <t>Attribution implementation is incomplete</t>
  </si>
  <si>
    <t>Source review; official requirements checked</t>
  </si>
  <si>
    <t>layout/footer/about; watchRow</t>
  </si>
  <si>
    <t>Implement approved TMDB logo and notice in the required location, plus visible JustWatch attribution for provider data, subject to the completed commercial agreement. License procurement itself is out of scope.</t>
  </si>
  <si>
    <t>Attribution is present and accurate on the final deployed templates and conforms to applicable contract terms.</t>
  </si>
  <si>
    <t>DR-29</t>
  </si>
  <si>
    <t>Consent</t>
  </si>
  <si>
    <t>Ad, CMP and analytics settings are independently enabled</t>
  </si>
  <si>
    <t>Confirmed source risk; live request behavior not inspected</t>
  </si>
  <si>
    <t>layout(); ADSENSE, FC_ID, GA_ID; cookiechoices</t>
  </si>
  <si>
    <t>Create an explicit monetization readiness check and consent-aware tag sequencing. Use the current certified CMP integration; test consent denial, acceptance, withdrawal and failure. Non-personalized is not automatically consent-free.</t>
  </si>
  <si>
    <t>A staging consent matrix proves correct request/storage behavior and working withdrawal. Unready configuration fails deployment or disables monetization safely.</t>
  </si>
  <si>
    <t>4</t>
  </si>
  <si>
    <t>DR-30</t>
  </si>
  <si>
    <t>Privacy</t>
  </si>
  <si>
    <t>Privacy claims are broader than the implementation supports</t>
  </si>
  <si>
    <t>Confirmed v2 copy</t>
  </si>
  <si>
    <t>privacy: We cannot identify you; shelf sharing; hosting/analytics</t>
  </si>
  <si>
    <t>Describe actual analytics, hosting, contact messages, external image requests and local storage. Explain share-link disclosure and retention. Do not promise anonymity or recovery that cannot be guaranteed.</t>
  </si>
  <si>
    <t>Policy and real network/storage behavior agree; reader preferences are separated from advertising consent. No watched-list payload is uploaded by default.</t>
  </si>
  <si>
    <t>DR-31</t>
  </si>
  <si>
    <t>Advertising</t>
  </si>
  <si>
    <t>No per-page eligibility flag protects utility pages</t>
  </si>
  <si>
    <t>Confirmed source: global ad script in common layout</t>
  </si>
  <si>
    <t>layout(); shelf, 404, legal pages; adRow/adSlot</t>
  </si>
  <si>
    <t>Add an explicit adsAllowed page policy. Exclude shelf, empty/error/search-no-result states, privacy/contact and staging. Disable Auto ads on excluded pages as well as manual units.</t>
  </si>
  <si>
    <t>Excluded pages load no monetization tags under the chosen architecture. Valuable editorial routes alone are eligible; a noindex tag is not treated as an ad policy control.</t>
  </si>
  <si>
    <t>DR-32</t>
  </si>
  <si>
    <t>Ad space is only partially reserved and labels differ</t>
  </si>
  <si>
    <t>Confirmed CSS: 280px inline versus 100px generic; source labels</t>
  </si>
  <si>
    <t>adslot, adslot--inrow; adRow/adSlot</t>
  </si>
  <si>
    <t>Choose supported responsive sizes, reserve appropriate slot geometry and label every placement Advertisements. Do not insert ads between a poster and its controls. Test no-fill and consent states.</t>
  </si>
  <si>
    <t>No unexpected growth shifts a save/provider control under the pointer. Slots are visually distinct from picks; no stale ad-only empty results.</t>
  </si>
  <si>
    <t>DR-33</t>
  </si>
  <si>
    <t>Placement follows original indices, not visible content</t>
  </si>
  <si>
    <t>Confirmed list inserts after original picks 2 and 5; interaction risk</t>
  </si>
  <si>
    <t>pageLike() adRow insertion; refine apply()</t>
  </si>
  <si>
    <t>Plan ad zones around visible editorial sections. Start with one after the initial shortlist; suppress later slot requests when insufficient content remains. Do not auto-refresh ads on filter changes.</t>
  </si>
  <si>
    <t>Zero or one filtered result does not leave an ad-heavy page. Active ads are not repeatedly refreshed or forcibly remounted by filter clicks.</t>
  </si>
  <si>
    <t>DR-34</t>
  </si>
  <si>
    <t>Revenue</t>
  </si>
  <si>
    <t>Affiliate support exists, but earnings and approvals are unverified</t>
  </si>
  <si>
    <t>Confirmed source; private program approvals unavailable</t>
  </si>
  <si>
    <t>affiliate(); PROJECT-STATE.json; provider links</t>
  </si>
  <si>
    <t>Keep affiliate work conditional on actual program acceptance, allowed deep links and country-specific tracking. Do not divert recommendations to whichever service pays.</t>
  </si>
  <si>
    <t>Approved locale test links and disclosure checks pass before activation. Model costs and expected qualified conversions, not guaranteed affiliate income.</t>
  </si>
  <si>
    <t>External</t>
  </si>
  <si>
    <t>DR-35</t>
  </si>
  <si>
    <t>Measurement</t>
  </si>
  <si>
    <t>Business conclusions exceed the tiny documented sample</t>
  </si>
  <si>
    <t>Project-noted analytics; raw exports not inspected</t>
  </si>
  <si>
    <t>PROJECT-STATE.json: GA and Search Console notes</t>
  </si>
  <si>
    <t>Establish a consent-aware product funnel; separate production/staging and internal testing. Reconcile inconsistent new-user counts; do not infer bots from city names.</t>
  </si>
  <si>
    <t>Report observed sessions/searches/result views/saves/provider clicks with denominators. No unsupported claim about real humans, causation, RPM or conversion.</t>
  </si>
  <si>
    <t>DR-36</t>
  </si>
  <si>
    <t>SEO/content</t>
  </si>
  <si>
    <t>Best collections are inventories, not clear editorial selections</t>
  </si>
  <si>
    <t>Confirmed deployed collection and source sort</t>
  </si>
  <si>
    <t>pageHub and Netflix collection</t>
  </si>
  <si>
    <t>Add an original, selected top section by decision need with tradeoffs, then the full filterable catalog. Avoid unnecessary extra pages and artificial word counts.</t>
  </si>
  <si>
    <t>Every indexable collection solves a distinct choice. Dates/regions are accurate; core recommendations remain available in server-rendered HTML.</t>
  </si>
  <si>
    <t>DR-37</t>
  </si>
  <si>
    <t>Architecture</t>
  </si>
  <si>
    <t>Validation is not inside the configured deployment build</t>
  </si>
  <si>
    <t>Confirmed package/Vercel build command</t>
  </si>
  <si>
    <t>vercel.json; package.json; .github/workflows/validate.yml</t>
  </si>
  <si>
    <t>Make validation, data checks and smoke tests required parts of production build. Incrementally separate data, templates and browser interactions without changing URLs/framework.</t>
  </si>
  <si>
    <t>A failing content/schema/function test prevents the deploy. CI passing separately is not mistaken for blocking Vercel deployment. Rollback is tested.</t>
  </si>
  <si>
    <t>DR-38</t>
  </si>
  <si>
    <t>SEO/data</t>
  </si>
  <si>
    <t>Overlap labels and growth goals reward link quantity</t>
  </si>
  <si>
    <t>Confirmed source score includes cross-picks; project strategy text</t>
  </si>
  <si>
    <t>RELATED_LISTS; PROJECT-STATE batch14</t>
  </si>
  <si>
    <t>Separate true shared-pick count from ranking signals. Prioritize recommendation suitability and demonstrated demand, not reciprocal link totals.</t>
  </si>
  <si>
    <t>Displayed picks in common equals a set intersection. Legitimate removals do not fail a release just because link totals fall.</t>
  </si>
  <si>
    <t>DR-39</t>
  </si>
  <si>
    <t>Performance</t>
  </si>
  <si>
    <t>Responsive imagery and real-device evidence are missing</t>
  </si>
  <si>
    <t>Confirmed no srcset in poster template; no measured live CWV</t>
  </si>
  <si>
    <t>plate(); shelf image markup; assets</t>
  </si>
  <si>
    <t>Add appropriately sized srcset/sizes, preserve poster dimensions, prioritize only genuinely above-fold images, keep self-hosted fonts and static HTML. Measure real mobile/desktop behavior before changing bundles.</t>
  </si>
  <si>
    <t>No regression with ads/consent on; target p75 LCP &lt;=2.5s, INP &lt;=200ms and CLS &lt;=0.1 when field data exists. Lab tests are not represented as field proof.</t>
  </si>
  <si>
    <t>DR-40</t>
  </si>
  <si>
    <t>Feedback</t>
  </si>
  <si>
    <t>Requests and corrections require an email client</t>
  </si>
  <si>
    <t>mailto links in search and recfoot</t>
  </si>
  <si>
    <t>Add a small correction/title request form with spam prevention, bounded input and an explicit send action; retain email fallback. Test success and server failure.</t>
  </si>
  <si>
    <t>User can report a factual issue without an email app and without creating an account. No silent sending or unbounded free-text analytics.</t>
  </si>
  <si>
    <t>DR-41</t>
  </si>
  <si>
    <t>Planning</t>
  </si>
  <si>
    <t>Current notes contain contradictions and stale actions</t>
  </si>
  <si>
    <t>Confirmed source; headline counts now match fresh inventory</t>
  </si>
  <si>
    <t>PROJECT-STATE.json: research coverage, open_items, analytics</t>
  </si>
  <si>
    <t>Generate objective counts from files. Keep sources/coverage as structured review records; reconcile stale 341-URL instruction and already-completed open items. Distinguish evidence from inference.</t>
  </si>
  <si>
    <t>One report matches the build; completed tasks do not reappear as pending. All 152 use both sources is not asserted alongside 105 still MDL-only.</t>
  </si>
  <si>
    <t>DR-42</t>
  </si>
  <si>
    <t>Discovery</t>
  </si>
  <si>
    <t>Actor/couple discovery and comparison should come after core repair</t>
  </si>
  <si>
    <t>Confirmed schema gap / proposed enhancement</t>
  </si>
  <si>
    <t>Catalog schema; original product vision</t>
  </si>
  <si>
    <t>First add a small side-by-side comparison to existing picks; later pilot verified actor/couple relationships only if user requests justify them. Distinguish co-stars from romantic pairs.</t>
  </si>
  <si>
    <t>Comparison uses the same metadata, spoiler preferences and watched state. Actor pages contain verified relationships and distinct editorial value before indexation.</t>
  </si>
  <si>
    <t>3 / later</t>
  </si>
  <si>
    <t>M / L</t>
  </si>
  <si>
    <t>Outcome</t>
  </si>
  <si>
    <t>Work</t>
  </si>
  <si>
    <t>Exit gate</t>
  </si>
  <si>
    <t>Effort (not calendar promise)</t>
  </si>
  <si>
    <t>0</t>
  </si>
  <si>
    <t>Freeze scope and establish the baseline</t>
  </si>
  <si>
    <t>Confirm the latest v2 archive/commit; record main journeys and current screenshots; keep current typography, palette and URL structure. Treat domain and commercial license as resolved.</t>
  </si>
  <si>
    <t>Source match recorded; test data and previous deploy available for rollback.</t>
  </si>
  <si>
    <t>0.5-1 developer-day</t>
  </si>
  <si>
    <t>Repair correctness and basic functionality</t>
  </si>
  <si>
    <t>Shelf grid, storage and errors; search/keyboard states; known factual fixes and metadata safeguards; truthful region/availability wording; attribution; deployment gate; production/staging measurement separation.</t>
  </si>
  <si>
    <t>Search/save flows pass failure tests, known incorrect claims are fixed, no catastrophic metadata fallback can reach production.</t>
  </si>
  <si>
    <t>4-7 developer-days plus identity/metadata review</t>
  </si>
  <si>
    <t>Make choosing and returning easier</t>
  </si>
  <si>
    <t>Watched state and filter; readable row summaries; spoiler protection; time commitments; mobile order; poster sizing; consistent actions and editorial review template.</t>
  </si>
  <si>
    <t>User can find an unseen choice, explain the tradeoff and save it without spoilers or a dead end.</t>
  </si>
  <si>
    <t>4-7 developer-days plus content review</t>
  </si>
  <si>
    <t>Differentiate where it matters</t>
  </si>
  <si>
    <t>Pilot reason-aware ordering on five verified seed pages, then expand only if useful; optional comparison, better curated collections and correction form. Fix secondary/overlap ranking.</t>
  </si>
  <si>
    <t>Five drama fans complete an unseen-pick task; pilot target is 4/5 unaided within two minutes, an internal criterion rather than statistical proof.</t>
  </si>
  <si>
    <t>3-6 developer-days plus research</t>
  </si>
  <si>
    <t>Activate monetization deliberately</t>
  </si>
  <si>
    <t>Certified CMP, truthful privacy, page eligibility, restrained ad slots, filtered-state behavior, ad/no-fill testing and any independently approved affiliate links.</t>
  </si>
  <si>
    <t>Consent and publisher-policy checklist passes; production approval/config is ready; no overlap or misleading clicks; staging remains ad-free.</t>
  </si>
  <si>
    <t>2-4 developer-days plus external approval timing</t>
  </si>
  <si>
    <t>5</t>
  </si>
  <si>
    <t>Measure, revise, then expand</t>
  </si>
  <si>
    <t>Collect adequate production data; compare device/country/page intent; improve pages with real impressions and search requests; add content only when review capacity allows.</t>
  </si>
  <si>
    <t>Decisions use explicit denominators and reviewable evidence; no forced pagination or ranking manipulation for ad inventory.</t>
  </si>
  <si>
    <t>Ongoing; no defensible fixed result date</t>
  </si>
  <si>
    <t>Page type</t>
  </si>
  <si>
    <t>Initial policy</t>
  </si>
  <si>
    <t>Guardrail</t>
  </si>
  <si>
    <t>Homepage</t>
  </si>
  <si>
    <t>Initially none; later one below a substantive editorial block</t>
  </si>
  <si>
    <t>No ads in hero/search/autocomplete or positioned as recommended dramas.</t>
  </si>
  <si>
    <t>Recommendation list</t>
  </si>
  <si>
    <t>Start with one after the initial 2-3 useful picks, based on visible content</t>
  </si>
  <si>
    <t>Do not break poster/summary/actions. Additional lower slot only after real usage and sufficient editorial content.</t>
  </si>
  <si>
    <t>Drama detail</t>
  </si>
  <si>
    <t>At most one initial unit after substantial original verdict content</t>
  </si>
  <si>
    <t>Keep provider links and save/watched actions clearly separate. Metadata alone is not a monetization strategy.</t>
  </si>
  <si>
    <t>Editorial collection</t>
  </si>
  <si>
    <t>One after a genuinely curated shortlist, not immediately beneath the title</t>
  </si>
  <si>
    <t>Regional availability and visible result count must be correct.</t>
  </si>
  <si>
    <t>Shelf / watched / empty / error / utility</t>
  </si>
  <si>
    <t>No ads for the first version</t>
  </si>
  <si>
    <t>Explicit per-page tag exclusion, including Auto ads. This is a conservative product rule, not a claim every shelf is prohibited.</t>
  </si>
  <si>
    <t>V2 staging</t>
  </si>
  <si>
    <t>No live ads</t>
  </si>
  <si>
    <t>Use neutral size fixtures; never click production ads to test placement.</t>
  </si>
  <si>
    <t>Metric</t>
  </si>
  <si>
    <t>Definition</t>
  </si>
  <si>
    <t>Interpretation / limits</t>
  </si>
  <si>
    <t>Search result view rate</t>
  </si>
  <si>
    <t>Successful search sessions / search sessions</t>
  </si>
  <si>
    <t>Diagnoses findability; distinguish loaded index from failed index.</t>
  </si>
  <si>
    <t>Useful decision proxy</t>
  </si>
  <si>
    <t>Sessions with save, provider click or explicit helped-me-choose response / eligible result sessions</t>
  </si>
  <si>
    <t>Report events separately as well as the deduplicated union; none proves actual viewing.</t>
  </si>
  <si>
    <t>Watched-filter recovery</t>
  </si>
  <si>
    <t>Sessions reaching zero unseen picks and then finding another result / zero-unseen sessions</t>
  </si>
  <si>
    <t>Checks whether exclusions strand experienced viewers.</t>
  </si>
  <si>
    <t>Save persistence success</t>
  </si>
  <si>
    <t>Successful verified persistence / save attempts</t>
  </si>
  <si>
    <t>Only instrument consent-appropriately; report blocked storage without uploading the shelf.</t>
  </si>
  <si>
    <t>Page RPM</t>
  </si>
  <si>
    <t>Ad earnings / AdSense-reported pageviews x 1000</t>
  </si>
  <si>
    <t>Use matched AdSense denominators; do not mix all GA pageviews with ad-reported pageviews.</t>
  </si>
  <si>
    <t>Revenue per 1000 eligible sessions</t>
  </si>
  <si>
    <t>Earnings / eligible sessions x 1000</t>
  </si>
  <si>
    <t>Requires consistent scope; useful with user-success and performance guardrails.</t>
  </si>
  <si>
    <t>Core Web Vitals</t>
  </si>
  <si>
    <t>p75 LCP, INP and CLS by device where field data exists</t>
  </si>
  <si>
    <t>Targets &lt;=2.5s, &lt;=200ms, &lt;=0.1; lab checks are diagnostic, not substitutes for field data.</t>
  </si>
  <si>
    <t>Search Console demand</t>
  </si>
  <si>
    <t>Queries, pages, impressions, clicks and position over comparable windows</t>
  </si>
  <si>
    <t>Do not extrapolate a single 24-hour sample or treat its mobile/desktop mix as causal.</t>
  </si>
  <si>
    <t>Cash contribution</t>
  </si>
  <si>
    <t>Ad earnings + approved affiliate commissions - data, hosting and operating cash costs</t>
  </si>
  <si>
    <t>Also track owner effort separately; gross revenue is not profit.</t>
  </si>
  <si>
    <t>Source</t>
  </si>
  <si>
    <t>URL</t>
  </si>
  <si>
    <t>V2 homepage</t>
  </si>
  <si>
    <t>https://dramarecs-v2.vercel.app/</t>
  </si>
  <si>
    <t>V2 recommendations</t>
  </si>
  <si>
    <t>https://dramarecs-v2.vercel.app/dramas-like/my-liberation-notes/</t>
  </si>
  <si>
    <t>V2 detail</t>
  </si>
  <si>
    <t>https://dramarecs-v2.vercel.app/dramas/my-liberation-notes/</t>
  </si>
  <si>
    <t>V2 shelf</t>
  </si>
  <si>
    <t>https://dramarecs-v2.vercel.app/my-shelf/</t>
  </si>
  <si>
    <t>V2 Netflix collection</t>
  </si>
  <si>
    <t>https://dramarecs-v2.vercel.app/collections/best-k-dramas-on-netflix/</t>
  </si>
  <si>
    <t>V2 editorial method</t>
  </si>
  <si>
    <t>https://dramarecs-v2.vercel.app/how-we-pick/</t>
  </si>
  <si>
    <t>V2 privacy</t>
  </si>
  <si>
    <t>https://dramarecs-v2.vercel.app/privacy/</t>
  </si>
  <si>
    <t>Netflix: Trauma Code episodes</t>
  </si>
  <si>
    <t>https://www.netflix.com/title/81677629</t>
  </si>
  <si>
    <t>My Liberation Notes credits</t>
  </si>
  <si>
    <t>https://asianwiki.com/My_Liberation_Notes</t>
  </si>
  <si>
    <t>Something in the Rain credits</t>
  </si>
  <si>
    <t>https://asianwiki.com/Something_in_the_Rain</t>
  </si>
  <si>
    <t>TMDB attribution</t>
  </si>
  <si>
    <t>https://developer.themoviedb.org/docs/faq</t>
  </si>
  <si>
    <t>JustWatch attribution</t>
  </si>
  <si>
    <t>https://developer.themoviedb.org/reference/tv-season-watch-providers</t>
  </si>
  <si>
    <t>Google Publisher Policies</t>
  </si>
  <si>
    <t>https://support.google.com/adsense/answer/10502938</t>
  </si>
  <si>
    <t>Google ad placement</t>
  </si>
  <si>
    <t>https://support.google.com/adsense/answer/1346295</t>
  </si>
  <si>
    <t>Google CMP requirements</t>
  </si>
  <si>
    <t>https://support.google.com/adsense/answer/13554116</t>
  </si>
  <si>
    <t>Google EU consent</t>
  </si>
  <si>
    <t>https://support.google.com/adsense/answer/7670013</t>
  </si>
  <si>
    <t>Google TCF integration</t>
  </si>
  <si>
    <t>https://support.google.com/adsense/answer/9804260</t>
  </si>
  <si>
    <t>Google Core Web Vitals</t>
  </si>
  <si>
    <t>https://developers.google.com/search/docs/appearance/core-web-vitals</t>
  </si>
  <si>
    <t>Google AI content guidance</t>
  </si>
  <si>
    <t>https://developers.google.com/search/blog/2023/02/google-search-and-ai-content</t>
  </si>
  <si>
    <t>Google scaled-content policy explanation</t>
  </si>
  <si>
    <t>https://developers.google.com/search/blog/2024/03/core-update-spam-policies</t>
  </si>
  <si>
    <t>Scenario only</t>
  </si>
  <si>
    <t>Page RPM (USD)</t>
  </si>
  <si>
    <t>Gross target (USD)</t>
  </si>
  <si>
    <t>Ad pageviews required</t>
  </si>
  <si>
    <t>Illustration, not forecast</t>
  </si>
  <si>
    <t>Use matched AdSense pageview denominators. Gross earnings exclude all costs. Private license prices, future RPM and affiliate conversion rates are unknown. Do not infer any predicted income from this table.</t>
  </si>
</sst>
</file>

<file path=xl/styles.xml><?xml version="1.0" encoding="utf-8"?>
<styleSheet xmlns="http://schemas.openxmlformats.org/spreadsheetml/2006/main">
  <numFmts count="2">
    <numFmt numFmtId="164" formatCode="$0.00"/>
    <numFmt numFmtId="165" formatCode="#,##0"/>
  </numFmts>
  <fonts count="3">
    <font>
      <sz val="11"/>
      <color theme="1"/>
      <name val="Calibri"/>
      <family val="2"/>
      <scheme val="minor"/>
    </font>
    <font>
      <b/>
      <sz val="11"/>
      <color rgb="FFFAF9F3"/>
      <name val="Calibri"/>
      <family val="2"/>
      <scheme val="minor"/>
    </font>
    <font>
      <u/>
      <sz val="11"/>
      <color rgb="FF225E8B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63D3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">
    <dxf>
      <font>
        <color rgb="FF812F24"/>
      </font>
      <fill>
        <patternFill>
          <bgColor rgb="FFF9E4D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dramarecs-v2.vercel.app/" TargetMode="External"/><Relationship Id="rId2" Type="http://schemas.openxmlformats.org/officeDocument/2006/relationships/hyperlink" Target="https://dramarecs-v2.vercel.app/dramas-like/my-liberation-notes/" TargetMode="External"/><Relationship Id="rId3" Type="http://schemas.openxmlformats.org/officeDocument/2006/relationships/hyperlink" Target="https://dramarecs-v2.vercel.app/dramas/my-liberation-notes/" TargetMode="External"/><Relationship Id="rId4" Type="http://schemas.openxmlformats.org/officeDocument/2006/relationships/hyperlink" Target="https://dramarecs-v2.vercel.app/my-shelf/" TargetMode="External"/><Relationship Id="rId5" Type="http://schemas.openxmlformats.org/officeDocument/2006/relationships/hyperlink" Target="https://dramarecs-v2.vercel.app/collections/best-k-dramas-on-netflix/" TargetMode="External"/><Relationship Id="rId6" Type="http://schemas.openxmlformats.org/officeDocument/2006/relationships/hyperlink" Target="https://dramarecs-v2.vercel.app/how-we-pick/" TargetMode="External"/><Relationship Id="rId7" Type="http://schemas.openxmlformats.org/officeDocument/2006/relationships/hyperlink" Target="https://dramarecs-v2.vercel.app/privacy/" TargetMode="External"/><Relationship Id="rId8" Type="http://schemas.openxmlformats.org/officeDocument/2006/relationships/hyperlink" Target="https://www.netflix.com/title/81677629" TargetMode="External"/><Relationship Id="rId9" Type="http://schemas.openxmlformats.org/officeDocument/2006/relationships/hyperlink" Target="https://asianwiki.com/My_Liberation_Notes" TargetMode="External"/><Relationship Id="rId10" Type="http://schemas.openxmlformats.org/officeDocument/2006/relationships/hyperlink" Target="https://asianwiki.com/Something_in_the_Rain" TargetMode="External"/><Relationship Id="rId11" Type="http://schemas.openxmlformats.org/officeDocument/2006/relationships/hyperlink" Target="https://developer.themoviedb.org/docs/faq" TargetMode="External"/><Relationship Id="rId12" Type="http://schemas.openxmlformats.org/officeDocument/2006/relationships/hyperlink" Target="https://developer.themoviedb.org/reference/tv-season-watch-providers" TargetMode="External"/><Relationship Id="rId13" Type="http://schemas.openxmlformats.org/officeDocument/2006/relationships/hyperlink" Target="https://support.google.com/adsense/answer/10502938" TargetMode="External"/><Relationship Id="rId14" Type="http://schemas.openxmlformats.org/officeDocument/2006/relationships/hyperlink" Target="https://support.google.com/adsense/answer/1346295" TargetMode="External"/><Relationship Id="rId15" Type="http://schemas.openxmlformats.org/officeDocument/2006/relationships/hyperlink" Target="https://support.google.com/adsense/answer/13554116" TargetMode="External"/><Relationship Id="rId16" Type="http://schemas.openxmlformats.org/officeDocument/2006/relationships/hyperlink" Target="https://support.google.com/adsense/answer/7670013" TargetMode="External"/><Relationship Id="rId17" Type="http://schemas.openxmlformats.org/officeDocument/2006/relationships/hyperlink" Target="https://support.google.com/adsense/answer/9804260" TargetMode="External"/><Relationship Id="rId18" Type="http://schemas.openxmlformats.org/officeDocument/2006/relationships/hyperlink" Target="https://developers.google.com/search/docs/appearance/core-web-vitals" TargetMode="External"/><Relationship Id="rId19" Type="http://schemas.openxmlformats.org/officeDocument/2006/relationships/hyperlink" Target="https://developers.google.com/search/blog/2023/02/google-search-and-ai-content" TargetMode="External"/><Relationship Id="rId20" Type="http://schemas.openxmlformats.org/officeDocument/2006/relationships/hyperlink" Target="https://developers.google.com/search/blog/2024/03/core-update-spam-polic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>
      <pane ySplit="1" topLeftCell="A2" activePane="bottomLeft" state="frozen"/>
      <selection pane="bottomLeft"/>
    </sheetView>
  </sheetViews>
  <sheetFormatPr defaultRowHeight="76" customHeight="1"/>
  <cols>
    <col min="1" max="1" width="26.7109375" style="1" customWidth="1"/>
    <col min="2" max="2" width="120.7109375" style="1" customWidth="1"/>
  </cols>
  <sheetData>
    <row r="1" spans="1:2" ht="32" customHeight="1">
      <c r="A1" s="2" t="s">
        <v>0</v>
      </c>
      <c r="B1" s="2" t="s">
        <v>1</v>
      </c>
    </row>
    <row r="2" spans="1:2" ht="76" customHeight="1">
      <c r="A2" s="1" t="s">
        <v>2</v>
      </c>
      <c r="B2" s="1" t="s">
        <v>3</v>
      </c>
    </row>
    <row r="3" spans="1:2" ht="76" customHeight="1">
      <c r="A3" s="1" t="s">
        <v>4</v>
      </c>
      <c r="B3" s="1" t="s">
        <v>5</v>
      </c>
    </row>
    <row r="4" spans="1:2" ht="76" customHeight="1">
      <c r="A4" s="1" t="s">
        <v>6</v>
      </c>
      <c r="B4" s="1" t="s">
        <v>7</v>
      </c>
    </row>
    <row r="5" spans="1:2" ht="76" customHeight="1">
      <c r="A5" s="1" t="s">
        <v>8</v>
      </c>
      <c r="B5" s="1" t="s">
        <v>9</v>
      </c>
    </row>
    <row r="6" spans="1:2" ht="76" customHeight="1">
      <c r="A6" s="1" t="s">
        <v>10</v>
      </c>
      <c r="B6" s="1" t="s">
        <v>11</v>
      </c>
    </row>
    <row r="7" spans="1:2" ht="76" customHeight="1">
      <c r="A7" s="1" t="s">
        <v>12</v>
      </c>
      <c r="B7" s="1" t="s">
        <v>13</v>
      </c>
    </row>
  </sheetData>
  <autoFilter ref="A1:B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43"/>
  <sheetViews>
    <sheetView workbookViewId="0">
      <pane ySplit="1" topLeftCell="A2" activePane="bottomLeft" state="frozen"/>
      <selection pane="bottomLeft"/>
    </sheetView>
  </sheetViews>
  <sheetFormatPr defaultRowHeight="116" customHeight="1"/>
  <cols>
    <col min="1" max="1" width="10.7109375" style="1" customWidth="1"/>
    <col min="2" max="2" width="16.7109375" style="1" customWidth="1"/>
    <col min="3" max="3" width="18.7109375" style="1" customWidth="1"/>
    <col min="4" max="4" width="42.7109375" style="1" customWidth="1"/>
    <col min="5" max="5" width="52.7109375" style="1" customWidth="1"/>
    <col min="6" max="6" width="48.7109375" style="1" customWidth="1"/>
    <col min="7" max="8" width="85.7109375" style="1" customWidth="1"/>
    <col min="9" max="10" width="12.7109375" style="1" customWidth="1"/>
    <col min="11" max="11" width="26.7109375" style="1" customWidth="1"/>
  </cols>
  <sheetData>
    <row r="1" spans="1:11" ht="32" customHeight="1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</row>
    <row r="2" spans="1:11" ht="116" customHeight="1">
      <c r="A2" s="1" t="s">
        <v>25</v>
      </c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1" t="s">
        <v>35</v>
      </c>
    </row>
    <row r="3" spans="1:11" ht="116" customHeight="1">
      <c r="A3" s="1" t="s">
        <v>36</v>
      </c>
      <c r="B3" s="1" t="s">
        <v>26</v>
      </c>
      <c r="C3" s="1" t="s">
        <v>27</v>
      </c>
      <c r="D3" s="1" t="s">
        <v>37</v>
      </c>
      <c r="E3" s="1" t="s">
        <v>38</v>
      </c>
      <c r="F3" s="1" t="s">
        <v>39</v>
      </c>
      <c r="G3" s="1" t="s">
        <v>40</v>
      </c>
      <c r="H3" s="1" t="s">
        <v>41</v>
      </c>
      <c r="I3" s="1" t="s">
        <v>42</v>
      </c>
      <c r="J3" s="1" t="s">
        <v>43</v>
      </c>
      <c r="K3" s="1" t="s">
        <v>35</v>
      </c>
    </row>
    <row r="4" spans="1:11" ht="116" customHeight="1">
      <c r="A4" s="1" t="s">
        <v>44</v>
      </c>
      <c r="B4" s="1" t="s">
        <v>26</v>
      </c>
      <c r="C4" s="1" t="s">
        <v>27</v>
      </c>
      <c r="D4" s="1" t="s">
        <v>45</v>
      </c>
      <c r="E4" s="1" t="s">
        <v>46</v>
      </c>
      <c r="F4" s="1" t="s">
        <v>47</v>
      </c>
      <c r="G4" s="1" t="s">
        <v>48</v>
      </c>
      <c r="H4" s="1" t="s">
        <v>49</v>
      </c>
      <c r="I4" s="1" t="s">
        <v>33</v>
      </c>
      <c r="J4" s="1" t="s">
        <v>34</v>
      </c>
      <c r="K4" s="1" t="s">
        <v>35</v>
      </c>
    </row>
    <row r="5" spans="1:11" ht="116" customHeight="1">
      <c r="A5" s="1" t="s">
        <v>50</v>
      </c>
      <c r="B5" s="1" t="s">
        <v>26</v>
      </c>
      <c r="C5" s="1" t="s">
        <v>51</v>
      </c>
      <c r="D5" s="1" t="s">
        <v>52</v>
      </c>
      <c r="E5" s="1" t="s">
        <v>53</v>
      </c>
      <c r="F5" s="1" t="s">
        <v>54</v>
      </c>
      <c r="G5" s="1" t="s">
        <v>55</v>
      </c>
      <c r="H5" s="1" t="s">
        <v>56</v>
      </c>
      <c r="I5" s="1" t="s">
        <v>33</v>
      </c>
      <c r="J5" s="1" t="s">
        <v>43</v>
      </c>
      <c r="K5" s="1" t="s">
        <v>35</v>
      </c>
    </row>
    <row r="6" spans="1:11" ht="116" customHeight="1">
      <c r="A6" s="1" t="s">
        <v>57</v>
      </c>
      <c r="B6" s="1" t="s">
        <v>26</v>
      </c>
      <c r="C6" s="1" t="s">
        <v>51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62</v>
      </c>
      <c r="I6" s="1" t="s">
        <v>33</v>
      </c>
      <c r="J6" s="1" t="s">
        <v>34</v>
      </c>
      <c r="K6" s="1" t="s">
        <v>35</v>
      </c>
    </row>
    <row r="7" spans="1:11" ht="116" customHeight="1">
      <c r="A7" s="1" t="s">
        <v>63</v>
      </c>
      <c r="B7" s="1" t="s">
        <v>64</v>
      </c>
      <c r="C7" s="1" t="s">
        <v>27</v>
      </c>
      <c r="D7" s="1" t="s">
        <v>65</v>
      </c>
      <c r="E7" s="1" t="s">
        <v>66</v>
      </c>
      <c r="F7" s="1" t="s">
        <v>67</v>
      </c>
      <c r="G7" s="1" t="s">
        <v>68</v>
      </c>
      <c r="H7" s="1" t="s">
        <v>69</v>
      </c>
      <c r="I7" s="1" t="s">
        <v>33</v>
      </c>
      <c r="J7" s="1" t="s">
        <v>34</v>
      </c>
      <c r="K7" s="1" t="s">
        <v>35</v>
      </c>
    </row>
    <row r="8" spans="1:11" ht="116" customHeight="1">
      <c r="A8" s="1" t="s">
        <v>70</v>
      </c>
      <c r="B8" s="1" t="s">
        <v>26</v>
      </c>
      <c r="C8" s="1" t="s">
        <v>71</v>
      </c>
      <c r="D8" s="1" t="s">
        <v>72</v>
      </c>
      <c r="E8" s="1" t="s">
        <v>73</v>
      </c>
      <c r="F8" s="1" t="s">
        <v>74</v>
      </c>
      <c r="G8" s="1" t="s">
        <v>75</v>
      </c>
      <c r="H8" s="1" t="s">
        <v>76</v>
      </c>
      <c r="I8" s="1" t="s">
        <v>33</v>
      </c>
      <c r="J8" s="1" t="s">
        <v>34</v>
      </c>
      <c r="K8" s="1" t="s">
        <v>35</v>
      </c>
    </row>
    <row r="9" spans="1:11" ht="116" customHeight="1">
      <c r="A9" s="1" t="s">
        <v>77</v>
      </c>
      <c r="B9" s="1" t="s">
        <v>26</v>
      </c>
      <c r="C9" s="1" t="s">
        <v>71</v>
      </c>
      <c r="D9" s="1" t="s">
        <v>78</v>
      </c>
      <c r="E9" s="1" t="s">
        <v>79</v>
      </c>
      <c r="F9" s="1" t="s">
        <v>80</v>
      </c>
      <c r="G9" s="1" t="s">
        <v>81</v>
      </c>
      <c r="H9" s="1" t="s">
        <v>82</v>
      </c>
      <c r="I9" s="1" t="s">
        <v>33</v>
      </c>
      <c r="J9" s="1" t="s">
        <v>34</v>
      </c>
      <c r="K9" s="1" t="s">
        <v>35</v>
      </c>
    </row>
    <row r="10" spans="1:11" ht="116" customHeight="1">
      <c r="A10" s="1" t="s">
        <v>83</v>
      </c>
      <c r="B10" s="1" t="s">
        <v>26</v>
      </c>
      <c r="C10" s="1" t="s">
        <v>84</v>
      </c>
      <c r="D10" s="1" t="s">
        <v>85</v>
      </c>
      <c r="E10" s="1" t="s">
        <v>86</v>
      </c>
      <c r="F10" s="1" t="s">
        <v>87</v>
      </c>
      <c r="G10" s="1" t="s">
        <v>88</v>
      </c>
      <c r="H10" s="1" t="s">
        <v>89</v>
      </c>
      <c r="I10" s="1" t="s">
        <v>33</v>
      </c>
      <c r="J10" s="1" t="s">
        <v>43</v>
      </c>
      <c r="K10" s="1" t="s">
        <v>35</v>
      </c>
    </row>
    <row r="11" spans="1:11" ht="116" customHeight="1">
      <c r="A11" s="1" t="s">
        <v>90</v>
      </c>
      <c r="B11" s="1" t="s">
        <v>26</v>
      </c>
      <c r="C11" s="1" t="s">
        <v>91</v>
      </c>
      <c r="D11" s="1" t="s">
        <v>92</v>
      </c>
      <c r="E11" s="1" t="s">
        <v>93</v>
      </c>
      <c r="F11" s="1" t="s">
        <v>94</v>
      </c>
      <c r="G11" s="1" t="s">
        <v>95</v>
      </c>
      <c r="H11" s="1" t="s">
        <v>96</v>
      </c>
      <c r="I11" s="1" t="s">
        <v>42</v>
      </c>
      <c r="J11" s="1" t="s">
        <v>43</v>
      </c>
      <c r="K11" s="1" t="s">
        <v>35</v>
      </c>
    </row>
    <row r="12" spans="1:11" ht="116" customHeight="1">
      <c r="A12" s="1" t="s">
        <v>97</v>
      </c>
      <c r="B12" s="1" t="s">
        <v>26</v>
      </c>
      <c r="C12" s="1" t="s">
        <v>98</v>
      </c>
      <c r="D12" s="1" t="s">
        <v>99</v>
      </c>
      <c r="E12" s="1" t="s">
        <v>100</v>
      </c>
      <c r="F12" s="1" t="s">
        <v>101</v>
      </c>
      <c r="G12" s="1" t="s">
        <v>102</v>
      </c>
      <c r="H12" s="1" t="s">
        <v>103</v>
      </c>
      <c r="I12" s="1" t="s">
        <v>104</v>
      </c>
      <c r="J12" s="1" t="s">
        <v>105</v>
      </c>
      <c r="K12" s="1" t="s">
        <v>35</v>
      </c>
    </row>
    <row r="13" spans="1:11" ht="116" customHeight="1">
      <c r="A13" s="1" t="s">
        <v>106</v>
      </c>
      <c r="B13" s="1" t="s">
        <v>64</v>
      </c>
      <c r="C13" s="1" t="s">
        <v>98</v>
      </c>
      <c r="D13" s="1" t="s">
        <v>107</v>
      </c>
      <c r="E13" s="1" t="s">
        <v>108</v>
      </c>
      <c r="F13" s="1" t="s">
        <v>109</v>
      </c>
      <c r="G13" s="1" t="s">
        <v>110</v>
      </c>
      <c r="H13" s="1" t="s">
        <v>111</v>
      </c>
      <c r="I13" s="1" t="s">
        <v>42</v>
      </c>
      <c r="J13" s="1" t="s">
        <v>43</v>
      </c>
      <c r="K13" s="1" t="s">
        <v>35</v>
      </c>
    </row>
    <row r="14" spans="1:11" ht="116" customHeight="1">
      <c r="A14" s="1" t="s">
        <v>112</v>
      </c>
      <c r="B14" s="1" t="s">
        <v>26</v>
      </c>
      <c r="C14" s="1" t="s">
        <v>98</v>
      </c>
      <c r="D14" s="1" t="s">
        <v>113</v>
      </c>
      <c r="E14" s="1" t="s">
        <v>46</v>
      </c>
      <c r="F14" s="1" t="s">
        <v>114</v>
      </c>
      <c r="G14" s="1" t="s">
        <v>115</v>
      </c>
      <c r="H14" s="1" t="s">
        <v>116</v>
      </c>
      <c r="I14" s="1" t="s">
        <v>104</v>
      </c>
      <c r="J14" s="1" t="s">
        <v>43</v>
      </c>
      <c r="K14" s="1" t="s">
        <v>35</v>
      </c>
    </row>
    <row r="15" spans="1:11" ht="116" customHeight="1">
      <c r="A15" s="1" t="s">
        <v>117</v>
      </c>
      <c r="B15" s="1" t="s">
        <v>64</v>
      </c>
      <c r="C15" s="1" t="s">
        <v>118</v>
      </c>
      <c r="D15" s="1" t="s">
        <v>119</v>
      </c>
      <c r="E15" s="1" t="s">
        <v>120</v>
      </c>
      <c r="F15" s="1" t="s">
        <v>121</v>
      </c>
      <c r="G15" s="1" t="s">
        <v>122</v>
      </c>
      <c r="H15" s="1" t="s">
        <v>123</v>
      </c>
      <c r="I15" s="1" t="s">
        <v>42</v>
      </c>
      <c r="J15" s="1" t="s">
        <v>43</v>
      </c>
      <c r="K15" s="1" t="s">
        <v>35</v>
      </c>
    </row>
    <row r="16" spans="1:11" ht="116" customHeight="1">
      <c r="A16" s="1" t="s">
        <v>124</v>
      </c>
      <c r="B16" s="1" t="s">
        <v>26</v>
      </c>
      <c r="C16" s="1" t="s">
        <v>125</v>
      </c>
      <c r="D16" s="1" t="s">
        <v>126</v>
      </c>
      <c r="E16" s="1" t="s">
        <v>127</v>
      </c>
      <c r="F16" s="1" t="s">
        <v>128</v>
      </c>
      <c r="G16" s="1" t="s">
        <v>129</v>
      </c>
      <c r="H16" s="1" t="s">
        <v>130</v>
      </c>
      <c r="I16" s="1" t="s">
        <v>42</v>
      </c>
      <c r="J16" s="1" t="s">
        <v>43</v>
      </c>
      <c r="K16" s="1" t="s">
        <v>35</v>
      </c>
    </row>
    <row r="17" spans="1:11" ht="116" customHeight="1">
      <c r="A17" s="1" t="s">
        <v>131</v>
      </c>
      <c r="B17" s="1" t="s">
        <v>26</v>
      </c>
      <c r="C17" s="1" t="s">
        <v>132</v>
      </c>
      <c r="D17" s="1" t="s">
        <v>133</v>
      </c>
      <c r="E17" s="1" t="s">
        <v>134</v>
      </c>
      <c r="F17" s="1" t="s">
        <v>135</v>
      </c>
      <c r="G17" s="1" t="s">
        <v>136</v>
      </c>
      <c r="H17" s="1" t="s">
        <v>137</v>
      </c>
      <c r="I17" s="1" t="s">
        <v>42</v>
      </c>
      <c r="J17" s="1" t="s">
        <v>43</v>
      </c>
      <c r="K17" s="1" t="s">
        <v>35</v>
      </c>
    </row>
    <row r="18" spans="1:11" ht="116" customHeight="1">
      <c r="A18" s="1" t="s">
        <v>138</v>
      </c>
      <c r="B18" s="1" t="s">
        <v>26</v>
      </c>
      <c r="C18" s="1" t="s">
        <v>139</v>
      </c>
      <c r="D18" s="1" t="s">
        <v>140</v>
      </c>
      <c r="E18" s="1" t="s">
        <v>141</v>
      </c>
      <c r="F18" s="1" t="s">
        <v>142</v>
      </c>
      <c r="G18" s="1" t="s">
        <v>143</v>
      </c>
      <c r="H18" s="1" t="s">
        <v>144</v>
      </c>
      <c r="I18" s="1" t="s">
        <v>42</v>
      </c>
      <c r="J18" s="1" t="s">
        <v>43</v>
      </c>
      <c r="K18" s="1" t="s">
        <v>35</v>
      </c>
    </row>
    <row r="19" spans="1:11" ht="116" customHeight="1">
      <c r="A19" s="1" t="s">
        <v>145</v>
      </c>
      <c r="B19" s="1" t="s">
        <v>26</v>
      </c>
      <c r="C19" s="1" t="s">
        <v>118</v>
      </c>
      <c r="D19" s="1" t="s">
        <v>146</v>
      </c>
      <c r="E19" s="1" t="s">
        <v>147</v>
      </c>
      <c r="F19" s="1" t="s">
        <v>148</v>
      </c>
      <c r="G19" s="1" t="s">
        <v>149</v>
      </c>
      <c r="H19" s="1" t="s">
        <v>150</v>
      </c>
      <c r="I19" s="1" t="s">
        <v>33</v>
      </c>
      <c r="J19" s="1" t="s">
        <v>34</v>
      </c>
      <c r="K19" s="1" t="s">
        <v>35</v>
      </c>
    </row>
    <row r="20" spans="1:11" ht="116" customHeight="1">
      <c r="A20" s="1" t="s">
        <v>151</v>
      </c>
      <c r="B20" s="1" t="s">
        <v>26</v>
      </c>
      <c r="C20" s="1" t="s">
        <v>152</v>
      </c>
      <c r="D20" s="1" t="s">
        <v>153</v>
      </c>
      <c r="E20" s="1" t="s">
        <v>154</v>
      </c>
      <c r="F20" s="1" t="s">
        <v>155</v>
      </c>
      <c r="G20" s="1" t="s">
        <v>156</v>
      </c>
      <c r="H20" s="1" t="s">
        <v>157</v>
      </c>
      <c r="I20" s="1" t="s">
        <v>33</v>
      </c>
      <c r="J20" s="1" t="s">
        <v>43</v>
      </c>
      <c r="K20" s="1" t="s">
        <v>35</v>
      </c>
    </row>
    <row r="21" spans="1:11" ht="116" customHeight="1">
      <c r="A21" s="1" t="s">
        <v>158</v>
      </c>
      <c r="B21" s="1" t="s">
        <v>26</v>
      </c>
      <c r="C21" s="1" t="s">
        <v>152</v>
      </c>
      <c r="D21" s="1" t="s">
        <v>159</v>
      </c>
      <c r="E21" s="1" t="s">
        <v>160</v>
      </c>
      <c r="F21" s="1" t="s">
        <v>161</v>
      </c>
      <c r="G21" s="1" t="s">
        <v>162</v>
      </c>
      <c r="H21" s="1" t="s">
        <v>163</v>
      </c>
      <c r="I21" s="1" t="s">
        <v>33</v>
      </c>
      <c r="J21" s="1" t="s">
        <v>105</v>
      </c>
      <c r="K21" s="1" t="s">
        <v>35</v>
      </c>
    </row>
    <row r="22" spans="1:11" ht="116" customHeight="1">
      <c r="A22" s="1" t="s">
        <v>164</v>
      </c>
      <c r="B22" s="1" t="s">
        <v>26</v>
      </c>
      <c r="C22" s="1" t="s">
        <v>165</v>
      </c>
      <c r="D22" s="1" t="s">
        <v>166</v>
      </c>
      <c r="E22" s="1" t="s">
        <v>167</v>
      </c>
      <c r="F22" s="1" t="s">
        <v>168</v>
      </c>
      <c r="G22" s="1" t="s">
        <v>169</v>
      </c>
      <c r="H22" s="1" t="s">
        <v>170</v>
      </c>
      <c r="I22" s="1" t="s">
        <v>42</v>
      </c>
      <c r="J22" s="1" t="s">
        <v>105</v>
      </c>
      <c r="K22" s="1" t="s">
        <v>35</v>
      </c>
    </row>
    <row r="23" spans="1:11" ht="116" customHeight="1">
      <c r="A23" s="1" t="s">
        <v>171</v>
      </c>
      <c r="B23" s="1" t="s">
        <v>26</v>
      </c>
      <c r="C23" s="1" t="s">
        <v>165</v>
      </c>
      <c r="D23" s="1" t="s">
        <v>172</v>
      </c>
      <c r="E23" s="1" t="s">
        <v>173</v>
      </c>
      <c r="F23" s="1" t="s">
        <v>174</v>
      </c>
      <c r="G23" s="1" t="s">
        <v>175</v>
      </c>
      <c r="H23" s="1" t="s">
        <v>176</v>
      </c>
      <c r="I23" s="1" t="s">
        <v>33</v>
      </c>
      <c r="J23" s="1" t="s">
        <v>43</v>
      </c>
      <c r="K23" s="1" t="s">
        <v>35</v>
      </c>
    </row>
    <row r="24" spans="1:11" ht="116" customHeight="1">
      <c r="A24" s="1" t="s">
        <v>177</v>
      </c>
      <c r="B24" s="1" t="s">
        <v>26</v>
      </c>
      <c r="C24" s="1" t="s">
        <v>178</v>
      </c>
      <c r="D24" s="1" t="s">
        <v>179</v>
      </c>
      <c r="E24" s="1" t="s">
        <v>180</v>
      </c>
      <c r="F24" s="1" t="s">
        <v>181</v>
      </c>
      <c r="G24" s="1" t="s">
        <v>182</v>
      </c>
      <c r="H24" s="1" t="s">
        <v>183</v>
      </c>
      <c r="I24" s="1" t="s">
        <v>33</v>
      </c>
      <c r="J24" s="1" t="s">
        <v>43</v>
      </c>
      <c r="K24" s="1" t="s">
        <v>35</v>
      </c>
    </row>
    <row r="25" spans="1:11" ht="116" customHeight="1">
      <c r="A25" s="1" t="s">
        <v>184</v>
      </c>
      <c r="B25" s="1" t="s">
        <v>26</v>
      </c>
      <c r="C25" s="1" t="s">
        <v>178</v>
      </c>
      <c r="D25" s="1" t="s">
        <v>185</v>
      </c>
      <c r="E25" s="1" t="s">
        <v>186</v>
      </c>
      <c r="F25" s="1" t="s">
        <v>187</v>
      </c>
      <c r="G25" s="1" t="s">
        <v>188</v>
      </c>
      <c r="H25" s="1" t="s">
        <v>189</v>
      </c>
      <c r="I25" s="1" t="s">
        <v>33</v>
      </c>
      <c r="J25" s="1" t="s">
        <v>43</v>
      </c>
      <c r="K25" s="1" t="s">
        <v>35</v>
      </c>
    </row>
    <row r="26" spans="1:11" ht="116" customHeight="1">
      <c r="A26" s="1" t="s">
        <v>190</v>
      </c>
      <c r="B26" s="1" t="s">
        <v>26</v>
      </c>
      <c r="C26" s="1" t="s">
        <v>178</v>
      </c>
      <c r="D26" s="1" t="s">
        <v>191</v>
      </c>
      <c r="E26" s="1" t="s">
        <v>192</v>
      </c>
      <c r="F26" s="1" t="s">
        <v>193</v>
      </c>
      <c r="G26" s="1" t="s">
        <v>194</v>
      </c>
      <c r="H26" s="1" t="s">
        <v>195</v>
      </c>
      <c r="I26" s="1" t="s">
        <v>42</v>
      </c>
      <c r="J26" s="1" t="s">
        <v>43</v>
      </c>
      <c r="K26" s="1" t="s">
        <v>35</v>
      </c>
    </row>
    <row r="27" spans="1:11" ht="116" customHeight="1">
      <c r="A27" s="1" t="s">
        <v>196</v>
      </c>
      <c r="B27" s="1" t="s">
        <v>26</v>
      </c>
      <c r="C27" s="1" t="s">
        <v>178</v>
      </c>
      <c r="D27" s="1" t="s">
        <v>197</v>
      </c>
      <c r="E27" s="1" t="s">
        <v>198</v>
      </c>
      <c r="F27" s="1" t="s">
        <v>199</v>
      </c>
      <c r="G27" s="1" t="s">
        <v>200</v>
      </c>
      <c r="H27" s="1" t="s">
        <v>201</v>
      </c>
      <c r="I27" s="1" t="s">
        <v>42</v>
      </c>
      <c r="J27" s="1" t="s">
        <v>43</v>
      </c>
      <c r="K27" s="1" t="s">
        <v>35</v>
      </c>
    </row>
    <row r="28" spans="1:11" ht="116" customHeight="1">
      <c r="A28" s="1" t="s">
        <v>202</v>
      </c>
      <c r="B28" s="1" t="s">
        <v>26</v>
      </c>
      <c r="C28" s="1" t="s">
        <v>51</v>
      </c>
      <c r="D28" s="1" t="s">
        <v>203</v>
      </c>
      <c r="E28" s="1" t="s">
        <v>204</v>
      </c>
      <c r="F28" s="1" t="s">
        <v>205</v>
      </c>
      <c r="G28" s="1" t="s">
        <v>206</v>
      </c>
      <c r="H28" s="1" t="s">
        <v>207</v>
      </c>
      <c r="I28" s="1" t="s">
        <v>33</v>
      </c>
      <c r="J28" s="1" t="s">
        <v>105</v>
      </c>
      <c r="K28" s="1" t="s">
        <v>35</v>
      </c>
    </row>
    <row r="29" spans="1:11" ht="116" customHeight="1">
      <c r="A29" s="1" t="s">
        <v>208</v>
      </c>
      <c r="B29" s="1" t="s">
        <v>209</v>
      </c>
      <c r="C29" s="1" t="s">
        <v>210</v>
      </c>
      <c r="D29" s="1" t="s">
        <v>211</v>
      </c>
      <c r="E29" s="1" t="s">
        <v>212</v>
      </c>
      <c r="F29" s="1" t="s">
        <v>213</v>
      </c>
      <c r="G29" s="1" t="s">
        <v>214</v>
      </c>
      <c r="H29" s="1" t="s">
        <v>215</v>
      </c>
      <c r="I29" s="1" t="s">
        <v>33</v>
      </c>
      <c r="J29" s="1" t="s">
        <v>34</v>
      </c>
      <c r="K29" s="1" t="s">
        <v>35</v>
      </c>
    </row>
    <row r="30" spans="1:11" ht="116" customHeight="1">
      <c r="A30" s="1" t="s">
        <v>216</v>
      </c>
      <c r="B30" s="1" t="s">
        <v>209</v>
      </c>
      <c r="C30" s="1" t="s">
        <v>217</v>
      </c>
      <c r="D30" s="1" t="s">
        <v>218</v>
      </c>
      <c r="E30" s="1" t="s">
        <v>219</v>
      </c>
      <c r="F30" s="1" t="s">
        <v>220</v>
      </c>
      <c r="G30" s="1" t="s">
        <v>221</v>
      </c>
      <c r="H30" s="1" t="s">
        <v>222</v>
      </c>
      <c r="I30" s="1" t="s">
        <v>223</v>
      </c>
      <c r="J30" s="1" t="s">
        <v>105</v>
      </c>
      <c r="K30" s="1" t="s">
        <v>35</v>
      </c>
    </row>
    <row r="31" spans="1:11" ht="116" customHeight="1">
      <c r="A31" s="1" t="s">
        <v>224</v>
      </c>
      <c r="B31" s="1" t="s">
        <v>209</v>
      </c>
      <c r="C31" s="1" t="s">
        <v>225</v>
      </c>
      <c r="D31" s="1" t="s">
        <v>226</v>
      </c>
      <c r="E31" s="1" t="s">
        <v>227</v>
      </c>
      <c r="F31" s="1" t="s">
        <v>228</v>
      </c>
      <c r="G31" s="1" t="s">
        <v>229</v>
      </c>
      <c r="H31" s="1" t="s">
        <v>230</v>
      </c>
      <c r="I31" s="1" t="s">
        <v>223</v>
      </c>
      <c r="J31" s="1" t="s">
        <v>43</v>
      </c>
      <c r="K31" s="1" t="s">
        <v>35</v>
      </c>
    </row>
    <row r="32" spans="1:11" ht="116" customHeight="1">
      <c r="A32" s="1" t="s">
        <v>231</v>
      </c>
      <c r="B32" s="1" t="s">
        <v>209</v>
      </c>
      <c r="C32" s="1" t="s">
        <v>232</v>
      </c>
      <c r="D32" s="1" t="s">
        <v>233</v>
      </c>
      <c r="E32" s="1" t="s">
        <v>234</v>
      </c>
      <c r="F32" s="1" t="s">
        <v>235</v>
      </c>
      <c r="G32" s="1" t="s">
        <v>236</v>
      </c>
      <c r="H32" s="1" t="s">
        <v>237</v>
      </c>
      <c r="I32" s="1" t="s">
        <v>223</v>
      </c>
      <c r="J32" s="1" t="s">
        <v>43</v>
      </c>
      <c r="K32" s="1" t="s">
        <v>35</v>
      </c>
    </row>
    <row r="33" spans="1:11" ht="116" customHeight="1">
      <c r="A33" s="1" t="s">
        <v>238</v>
      </c>
      <c r="B33" s="1" t="s">
        <v>26</v>
      </c>
      <c r="C33" s="1" t="s">
        <v>232</v>
      </c>
      <c r="D33" s="1" t="s">
        <v>239</v>
      </c>
      <c r="E33" s="1" t="s">
        <v>240</v>
      </c>
      <c r="F33" s="1" t="s">
        <v>241</v>
      </c>
      <c r="G33" s="1" t="s">
        <v>242</v>
      </c>
      <c r="H33" s="1" t="s">
        <v>243</v>
      </c>
      <c r="I33" s="1" t="s">
        <v>223</v>
      </c>
      <c r="J33" s="1" t="s">
        <v>43</v>
      </c>
      <c r="K33" s="1" t="s">
        <v>35</v>
      </c>
    </row>
    <row r="34" spans="1:11" ht="116" customHeight="1">
      <c r="A34" s="1" t="s">
        <v>244</v>
      </c>
      <c r="B34" s="1" t="s">
        <v>26</v>
      </c>
      <c r="C34" s="1" t="s">
        <v>232</v>
      </c>
      <c r="D34" s="1" t="s">
        <v>245</v>
      </c>
      <c r="E34" s="1" t="s">
        <v>246</v>
      </c>
      <c r="F34" s="1" t="s">
        <v>247</v>
      </c>
      <c r="G34" s="1" t="s">
        <v>248</v>
      </c>
      <c r="H34" s="1" t="s">
        <v>249</v>
      </c>
      <c r="I34" s="1" t="s">
        <v>223</v>
      </c>
      <c r="J34" s="1" t="s">
        <v>43</v>
      </c>
      <c r="K34" s="1" t="s">
        <v>35</v>
      </c>
    </row>
    <row r="35" spans="1:11" ht="116" customHeight="1">
      <c r="A35" s="1" t="s">
        <v>250</v>
      </c>
      <c r="B35" s="1" t="s">
        <v>26</v>
      </c>
      <c r="C35" s="1" t="s">
        <v>251</v>
      </c>
      <c r="D35" s="1" t="s">
        <v>252</v>
      </c>
      <c r="E35" s="1" t="s">
        <v>253</v>
      </c>
      <c r="F35" s="1" t="s">
        <v>254</v>
      </c>
      <c r="G35" s="1" t="s">
        <v>255</v>
      </c>
      <c r="H35" s="1" t="s">
        <v>256</v>
      </c>
      <c r="I35" s="1" t="s">
        <v>223</v>
      </c>
      <c r="J35" s="1" t="s">
        <v>257</v>
      </c>
      <c r="K35" s="1" t="s">
        <v>35</v>
      </c>
    </row>
    <row r="36" spans="1:11" ht="116" customHeight="1">
      <c r="A36" s="1" t="s">
        <v>258</v>
      </c>
      <c r="B36" s="1" t="s">
        <v>26</v>
      </c>
      <c r="C36" s="1" t="s">
        <v>259</v>
      </c>
      <c r="D36" s="1" t="s">
        <v>260</v>
      </c>
      <c r="E36" s="1" t="s">
        <v>261</v>
      </c>
      <c r="F36" s="1" t="s">
        <v>262</v>
      </c>
      <c r="G36" s="1" t="s">
        <v>263</v>
      </c>
      <c r="H36" s="1" t="s">
        <v>264</v>
      </c>
      <c r="I36" s="1" t="s">
        <v>33</v>
      </c>
      <c r="J36" s="1" t="s">
        <v>43</v>
      </c>
      <c r="K36" s="1" t="s">
        <v>35</v>
      </c>
    </row>
    <row r="37" spans="1:11" ht="116" customHeight="1">
      <c r="A37" s="1" t="s">
        <v>265</v>
      </c>
      <c r="B37" s="1" t="s">
        <v>26</v>
      </c>
      <c r="C37" s="1" t="s">
        <v>266</v>
      </c>
      <c r="D37" s="1" t="s">
        <v>267</v>
      </c>
      <c r="E37" s="1" t="s">
        <v>268</v>
      </c>
      <c r="F37" s="1" t="s">
        <v>269</v>
      </c>
      <c r="G37" s="1" t="s">
        <v>270</v>
      </c>
      <c r="H37" s="1" t="s">
        <v>271</v>
      </c>
      <c r="I37" s="1" t="s">
        <v>104</v>
      </c>
      <c r="J37" s="1" t="s">
        <v>105</v>
      </c>
      <c r="K37" s="1" t="s">
        <v>35</v>
      </c>
    </row>
    <row r="38" spans="1:11" ht="116" customHeight="1">
      <c r="A38" s="1" t="s">
        <v>272</v>
      </c>
      <c r="B38" s="1" t="s">
        <v>26</v>
      </c>
      <c r="C38" s="1" t="s">
        <v>273</v>
      </c>
      <c r="D38" s="1" t="s">
        <v>274</v>
      </c>
      <c r="E38" s="1" t="s">
        <v>275</v>
      </c>
      <c r="F38" s="1" t="s">
        <v>276</v>
      </c>
      <c r="G38" s="1" t="s">
        <v>277</v>
      </c>
      <c r="H38" s="1" t="s">
        <v>278</v>
      </c>
      <c r="I38" s="1" t="s">
        <v>33</v>
      </c>
      <c r="J38" s="1" t="s">
        <v>43</v>
      </c>
      <c r="K38" s="1" t="s">
        <v>35</v>
      </c>
    </row>
    <row r="39" spans="1:11" ht="116" customHeight="1">
      <c r="A39" s="1" t="s">
        <v>279</v>
      </c>
      <c r="B39" s="1" t="s">
        <v>64</v>
      </c>
      <c r="C39" s="1" t="s">
        <v>280</v>
      </c>
      <c r="D39" s="1" t="s">
        <v>281</v>
      </c>
      <c r="E39" s="1" t="s">
        <v>282</v>
      </c>
      <c r="F39" s="1" t="s">
        <v>283</v>
      </c>
      <c r="G39" s="1" t="s">
        <v>284</v>
      </c>
      <c r="H39" s="1" t="s">
        <v>285</v>
      </c>
      <c r="I39" s="1" t="s">
        <v>104</v>
      </c>
      <c r="J39" s="1" t="s">
        <v>43</v>
      </c>
      <c r="K39" s="1" t="s">
        <v>35</v>
      </c>
    </row>
    <row r="40" spans="1:11" ht="116" customHeight="1">
      <c r="A40" s="1" t="s">
        <v>286</v>
      </c>
      <c r="B40" s="1" t="s">
        <v>26</v>
      </c>
      <c r="C40" s="1" t="s">
        <v>287</v>
      </c>
      <c r="D40" s="1" t="s">
        <v>288</v>
      </c>
      <c r="E40" s="1" t="s">
        <v>289</v>
      </c>
      <c r="F40" s="1" t="s">
        <v>290</v>
      </c>
      <c r="G40" s="1" t="s">
        <v>291</v>
      </c>
      <c r="H40" s="1" t="s">
        <v>292</v>
      </c>
      <c r="I40" s="1" t="s">
        <v>42</v>
      </c>
      <c r="J40" s="1" t="s">
        <v>43</v>
      </c>
      <c r="K40" s="1" t="s">
        <v>35</v>
      </c>
    </row>
    <row r="41" spans="1:11" ht="116" customHeight="1">
      <c r="A41" s="1" t="s">
        <v>293</v>
      </c>
      <c r="B41" s="1" t="s">
        <v>64</v>
      </c>
      <c r="C41" s="1" t="s">
        <v>294</v>
      </c>
      <c r="D41" s="1" t="s">
        <v>295</v>
      </c>
      <c r="E41" s="1" t="s">
        <v>46</v>
      </c>
      <c r="F41" s="1" t="s">
        <v>296</v>
      </c>
      <c r="G41" s="1" t="s">
        <v>297</v>
      </c>
      <c r="H41" s="1" t="s">
        <v>298</v>
      </c>
      <c r="I41" s="1" t="s">
        <v>104</v>
      </c>
      <c r="J41" s="1" t="s">
        <v>43</v>
      </c>
      <c r="K41" s="1" t="s">
        <v>35</v>
      </c>
    </row>
    <row r="42" spans="1:11" ht="116" customHeight="1">
      <c r="A42" s="1" t="s">
        <v>299</v>
      </c>
      <c r="B42" s="1" t="s">
        <v>64</v>
      </c>
      <c r="C42" s="1" t="s">
        <v>300</v>
      </c>
      <c r="D42" s="1" t="s">
        <v>301</v>
      </c>
      <c r="E42" s="1" t="s">
        <v>302</v>
      </c>
      <c r="F42" s="1" t="s">
        <v>303</v>
      </c>
      <c r="G42" s="1" t="s">
        <v>304</v>
      </c>
      <c r="H42" s="1" t="s">
        <v>305</v>
      </c>
      <c r="I42" s="1" t="s">
        <v>33</v>
      </c>
      <c r="J42" s="1" t="s">
        <v>34</v>
      </c>
      <c r="K42" s="1" t="s">
        <v>35</v>
      </c>
    </row>
    <row r="43" spans="1:11" ht="116" customHeight="1">
      <c r="A43" s="1" t="s">
        <v>306</v>
      </c>
      <c r="B43" s="1" t="s">
        <v>64</v>
      </c>
      <c r="C43" s="1" t="s">
        <v>307</v>
      </c>
      <c r="D43" s="1" t="s">
        <v>308</v>
      </c>
      <c r="E43" s="1" t="s">
        <v>309</v>
      </c>
      <c r="F43" s="1" t="s">
        <v>310</v>
      </c>
      <c r="G43" s="1" t="s">
        <v>311</v>
      </c>
      <c r="H43" s="1" t="s">
        <v>312</v>
      </c>
      <c r="I43" s="1" t="s">
        <v>313</v>
      </c>
      <c r="J43" s="1" t="s">
        <v>314</v>
      </c>
      <c r="K43" s="1" t="s">
        <v>35</v>
      </c>
    </row>
  </sheetData>
  <autoFilter ref="A1:K43"/>
  <conditionalFormatting sqref="B2:B43">
    <cfRule type="containsText" dxfId="0" priority="1" operator="containsText" text="P0">
      <formula>NOT(ISERROR(SEARCH("P0",B2)))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pane ySplit="1" topLeftCell="A2" activePane="bottomLeft" state="frozen"/>
      <selection pane="bottomLeft"/>
    </sheetView>
  </sheetViews>
  <sheetFormatPr defaultRowHeight="76" customHeight="1"/>
  <cols>
    <col min="1" max="1" width="10.7109375" style="1" customWidth="1"/>
    <col min="2" max="2" width="38.7109375" style="1" customWidth="1"/>
    <col min="3" max="3" width="95.7109375" style="1" customWidth="1"/>
    <col min="4" max="4" width="90.7109375" style="1" customWidth="1"/>
    <col min="5" max="5" width="48.7109375" style="1" customWidth="1"/>
  </cols>
  <sheetData>
    <row r="1" spans="1:5" ht="32" customHeight="1">
      <c r="A1" s="2" t="s">
        <v>22</v>
      </c>
      <c r="B1" s="2" t="s">
        <v>315</v>
      </c>
      <c r="C1" s="2" t="s">
        <v>316</v>
      </c>
      <c r="D1" s="2" t="s">
        <v>317</v>
      </c>
      <c r="E1" s="2" t="s">
        <v>318</v>
      </c>
    </row>
    <row r="2" spans="1:5" ht="76" customHeight="1">
      <c r="A2" s="1" t="s">
        <v>319</v>
      </c>
      <c r="B2" s="1" t="s">
        <v>320</v>
      </c>
      <c r="C2" s="1" t="s">
        <v>321</v>
      </c>
      <c r="D2" s="1" t="s">
        <v>322</v>
      </c>
      <c r="E2" s="1" t="s">
        <v>323</v>
      </c>
    </row>
    <row r="3" spans="1:5" ht="76" customHeight="1">
      <c r="A3" s="1" t="s">
        <v>33</v>
      </c>
      <c r="B3" s="1" t="s">
        <v>324</v>
      </c>
      <c r="C3" s="1" t="s">
        <v>325</v>
      </c>
      <c r="D3" s="1" t="s">
        <v>326</v>
      </c>
      <c r="E3" s="1" t="s">
        <v>327</v>
      </c>
    </row>
    <row r="4" spans="1:5" ht="76" customHeight="1">
      <c r="A4" s="1" t="s">
        <v>42</v>
      </c>
      <c r="B4" s="1" t="s">
        <v>328</v>
      </c>
      <c r="C4" s="1" t="s">
        <v>329</v>
      </c>
      <c r="D4" s="1" t="s">
        <v>330</v>
      </c>
      <c r="E4" s="1" t="s">
        <v>331</v>
      </c>
    </row>
    <row r="5" spans="1:5" ht="76" customHeight="1">
      <c r="A5" s="1" t="s">
        <v>104</v>
      </c>
      <c r="B5" s="1" t="s">
        <v>332</v>
      </c>
      <c r="C5" s="1" t="s">
        <v>333</v>
      </c>
      <c r="D5" s="1" t="s">
        <v>334</v>
      </c>
      <c r="E5" s="1" t="s">
        <v>335</v>
      </c>
    </row>
    <row r="6" spans="1:5" ht="76" customHeight="1">
      <c r="A6" s="1" t="s">
        <v>223</v>
      </c>
      <c r="B6" s="1" t="s">
        <v>336</v>
      </c>
      <c r="C6" s="1" t="s">
        <v>337</v>
      </c>
      <c r="D6" s="1" t="s">
        <v>338</v>
      </c>
      <c r="E6" s="1" t="s">
        <v>339</v>
      </c>
    </row>
    <row r="7" spans="1:5" ht="76" customHeight="1">
      <c r="A7" s="1" t="s">
        <v>340</v>
      </c>
      <c r="B7" s="1" t="s">
        <v>341</v>
      </c>
      <c r="C7" s="1" t="s">
        <v>342</v>
      </c>
      <c r="D7" s="1" t="s">
        <v>343</v>
      </c>
      <c r="E7" s="1" t="s">
        <v>344</v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7"/>
  <sheetViews>
    <sheetView workbookViewId="0">
      <pane ySplit="1" topLeftCell="A2" activePane="bottomLeft" state="frozen"/>
      <selection pane="bottomLeft"/>
    </sheetView>
  </sheetViews>
  <sheetFormatPr defaultRowHeight="76" customHeight="1"/>
  <cols>
    <col min="1" max="1" width="30.7109375" style="1" customWidth="1"/>
    <col min="2" max="2" width="95.7109375" style="1" customWidth="1"/>
    <col min="3" max="3" width="100.7109375" style="1" customWidth="1"/>
  </cols>
  <sheetData>
    <row r="1" spans="1:3" ht="32" customHeight="1">
      <c r="A1" s="2" t="s">
        <v>345</v>
      </c>
      <c r="B1" s="2" t="s">
        <v>346</v>
      </c>
      <c r="C1" s="2" t="s">
        <v>347</v>
      </c>
    </row>
    <row r="2" spans="1:3" ht="76" customHeight="1">
      <c r="A2" s="1" t="s">
        <v>348</v>
      </c>
      <c r="B2" s="1" t="s">
        <v>349</v>
      </c>
      <c r="C2" s="1" t="s">
        <v>350</v>
      </c>
    </row>
    <row r="3" spans="1:3" ht="76" customHeight="1">
      <c r="A3" s="1" t="s">
        <v>351</v>
      </c>
      <c r="B3" s="1" t="s">
        <v>352</v>
      </c>
      <c r="C3" s="1" t="s">
        <v>353</v>
      </c>
    </row>
    <row r="4" spans="1:3" ht="76" customHeight="1">
      <c r="A4" s="1" t="s">
        <v>354</v>
      </c>
      <c r="B4" s="1" t="s">
        <v>355</v>
      </c>
      <c r="C4" s="1" t="s">
        <v>356</v>
      </c>
    </row>
    <row r="5" spans="1:3" ht="76" customHeight="1">
      <c r="A5" s="1" t="s">
        <v>357</v>
      </c>
      <c r="B5" s="1" t="s">
        <v>358</v>
      </c>
      <c r="C5" s="1" t="s">
        <v>359</v>
      </c>
    </row>
    <row r="6" spans="1:3" ht="76" customHeight="1">
      <c r="A6" s="1" t="s">
        <v>360</v>
      </c>
      <c r="B6" s="1" t="s">
        <v>361</v>
      </c>
      <c r="C6" s="1" t="s">
        <v>362</v>
      </c>
    </row>
    <row r="7" spans="1:3" ht="76" customHeight="1">
      <c r="A7" s="1" t="s">
        <v>363</v>
      </c>
      <c r="B7" s="1" t="s">
        <v>364</v>
      </c>
      <c r="C7" s="1" t="s">
        <v>365</v>
      </c>
    </row>
  </sheetData>
  <autoFilter ref="A1:C7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0"/>
  <sheetViews>
    <sheetView workbookViewId="0">
      <pane ySplit="1" topLeftCell="A2" activePane="bottomLeft" state="frozen"/>
      <selection pane="bottomLeft"/>
    </sheetView>
  </sheetViews>
  <sheetFormatPr defaultRowHeight="76" customHeight="1"/>
  <cols>
    <col min="1" max="1" width="35.7109375" style="1" customWidth="1"/>
    <col min="2" max="2" width="90.7109375" style="1" customWidth="1"/>
    <col min="3" max="3" width="100.7109375" style="1" customWidth="1"/>
  </cols>
  <sheetData>
    <row r="1" spans="1:3" ht="32" customHeight="1">
      <c r="A1" s="2" t="s">
        <v>366</v>
      </c>
      <c r="B1" s="2" t="s">
        <v>367</v>
      </c>
      <c r="C1" s="2" t="s">
        <v>368</v>
      </c>
    </row>
    <row r="2" spans="1:3" ht="76" customHeight="1">
      <c r="A2" s="1" t="s">
        <v>369</v>
      </c>
      <c r="B2" s="1" t="s">
        <v>370</v>
      </c>
      <c r="C2" s="1" t="s">
        <v>371</v>
      </c>
    </row>
    <row r="3" spans="1:3" ht="76" customHeight="1">
      <c r="A3" s="1" t="s">
        <v>372</v>
      </c>
      <c r="B3" s="1" t="s">
        <v>373</v>
      </c>
      <c r="C3" s="1" t="s">
        <v>374</v>
      </c>
    </row>
    <row r="4" spans="1:3" ht="76" customHeight="1">
      <c r="A4" s="1" t="s">
        <v>375</v>
      </c>
      <c r="B4" s="1" t="s">
        <v>376</v>
      </c>
      <c r="C4" s="1" t="s">
        <v>377</v>
      </c>
    </row>
    <row r="5" spans="1:3" ht="76" customHeight="1">
      <c r="A5" s="1" t="s">
        <v>378</v>
      </c>
      <c r="B5" s="1" t="s">
        <v>379</v>
      </c>
      <c r="C5" s="1" t="s">
        <v>380</v>
      </c>
    </row>
    <row r="6" spans="1:3" ht="76" customHeight="1">
      <c r="A6" s="1" t="s">
        <v>381</v>
      </c>
      <c r="B6" s="1" t="s">
        <v>382</v>
      </c>
      <c r="C6" s="1" t="s">
        <v>383</v>
      </c>
    </row>
    <row r="7" spans="1:3" ht="76" customHeight="1">
      <c r="A7" s="1" t="s">
        <v>384</v>
      </c>
      <c r="B7" s="1" t="s">
        <v>385</v>
      </c>
      <c r="C7" s="1" t="s">
        <v>386</v>
      </c>
    </row>
    <row r="8" spans="1:3" ht="76" customHeight="1">
      <c r="A8" s="1" t="s">
        <v>387</v>
      </c>
      <c r="B8" s="1" t="s">
        <v>388</v>
      </c>
      <c r="C8" s="1" t="s">
        <v>389</v>
      </c>
    </row>
    <row r="9" spans="1:3" ht="76" customHeight="1">
      <c r="A9" s="1" t="s">
        <v>390</v>
      </c>
      <c r="B9" s="1" t="s">
        <v>391</v>
      </c>
      <c r="C9" s="1" t="s">
        <v>392</v>
      </c>
    </row>
    <row r="10" spans="1:3" ht="76" customHeight="1">
      <c r="A10" s="1" t="s">
        <v>393</v>
      </c>
      <c r="B10" s="1" t="s">
        <v>394</v>
      </c>
      <c r="C10" s="1" t="s">
        <v>395</v>
      </c>
    </row>
  </sheetData>
  <autoFilter ref="A1:C1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21"/>
  <sheetViews>
    <sheetView workbookViewId="0">
      <pane ySplit="1" topLeftCell="A2" activePane="bottomLeft" state="frozen"/>
      <selection pane="bottomLeft"/>
    </sheetView>
  </sheetViews>
  <sheetFormatPr defaultRowHeight="76" customHeight="1"/>
  <cols>
    <col min="1" max="1" width="40.7109375" style="1" customWidth="1"/>
    <col min="2" max="2" width="110.7109375" style="1" customWidth="1"/>
  </cols>
  <sheetData>
    <row r="1" spans="1:2" ht="32" customHeight="1">
      <c r="A1" s="2" t="s">
        <v>396</v>
      </c>
      <c r="B1" s="2" t="s">
        <v>397</v>
      </c>
    </row>
    <row r="2" spans="1:2" ht="76" customHeight="1">
      <c r="A2" s="1" t="s">
        <v>398</v>
      </c>
      <c r="B2" s="3" t="s">
        <v>399</v>
      </c>
    </row>
    <row r="3" spans="1:2" ht="76" customHeight="1">
      <c r="A3" s="1" t="s">
        <v>400</v>
      </c>
      <c r="B3" s="3" t="s">
        <v>401</v>
      </c>
    </row>
    <row r="4" spans="1:2" ht="76" customHeight="1">
      <c r="A4" s="1" t="s">
        <v>402</v>
      </c>
      <c r="B4" s="3" t="s">
        <v>403</v>
      </c>
    </row>
    <row r="5" spans="1:2" ht="76" customHeight="1">
      <c r="A5" s="1" t="s">
        <v>404</v>
      </c>
      <c r="B5" s="3" t="s">
        <v>405</v>
      </c>
    </row>
    <row r="6" spans="1:2" ht="76" customHeight="1">
      <c r="A6" s="1" t="s">
        <v>406</v>
      </c>
      <c r="B6" s="3" t="s">
        <v>407</v>
      </c>
    </row>
    <row r="7" spans="1:2" ht="76" customHeight="1">
      <c r="A7" s="1" t="s">
        <v>408</v>
      </c>
      <c r="B7" s="3" t="s">
        <v>409</v>
      </c>
    </row>
    <row r="8" spans="1:2" ht="76" customHeight="1">
      <c r="A8" s="1" t="s">
        <v>410</v>
      </c>
      <c r="B8" s="3" t="s">
        <v>411</v>
      </c>
    </row>
    <row r="9" spans="1:2" ht="76" customHeight="1">
      <c r="A9" s="1" t="s">
        <v>412</v>
      </c>
      <c r="B9" s="3" t="s">
        <v>413</v>
      </c>
    </row>
    <row r="10" spans="1:2" ht="76" customHeight="1">
      <c r="A10" s="1" t="s">
        <v>414</v>
      </c>
      <c r="B10" s="3" t="s">
        <v>415</v>
      </c>
    </row>
    <row r="11" spans="1:2" ht="76" customHeight="1">
      <c r="A11" s="1" t="s">
        <v>416</v>
      </c>
      <c r="B11" s="3" t="s">
        <v>417</v>
      </c>
    </row>
    <row r="12" spans="1:2" ht="76" customHeight="1">
      <c r="A12" s="1" t="s">
        <v>418</v>
      </c>
      <c r="B12" s="3" t="s">
        <v>419</v>
      </c>
    </row>
    <row r="13" spans="1:2" ht="76" customHeight="1">
      <c r="A13" s="1" t="s">
        <v>420</v>
      </c>
      <c r="B13" s="3" t="s">
        <v>421</v>
      </c>
    </row>
    <row r="14" spans="1:2" ht="76" customHeight="1">
      <c r="A14" s="1" t="s">
        <v>422</v>
      </c>
      <c r="B14" s="3" t="s">
        <v>423</v>
      </c>
    </row>
    <row r="15" spans="1:2" ht="76" customHeight="1">
      <c r="A15" s="1" t="s">
        <v>424</v>
      </c>
      <c r="B15" s="3" t="s">
        <v>425</v>
      </c>
    </row>
    <row r="16" spans="1:2" ht="76" customHeight="1">
      <c r="A16" s="1" t="s">
        <v>426</v>
      </c>
      <c r="B16" s="3" t="s">
        <v>427</v>
      </c>
    </row>
    <row r="17" spans="1:2" ht="76" customHeight="1">
      <c r="A17" s="1" t="s">
        <v>428</v>
      </c>
      <c r="B17" s="3" t="s">
        <v>429</v>
      </c>
    </row>
    <row r="18" spans="1:2" ht="76" customHeight="1">
      <c r="A18" s="1" t="s">
        <v>430</v>
      </c>
      <c r="B18" s="3" t="s">
        <v>431</v>
      </c>
    </row>
    <row r="19" spans="1:2" ht="76" customHeight="1">
      <c r="A19" s="1" t="s">
        <v>432</v>
      </c>
      <c r="B19" s="3" t="s">
        <v>433</v>
      </c>
    </row>
    <row r="20" spans="1:2" ht="76" customHeight="1">
      <c r="A20" s="1" t="s">
        <v>434</v>
      </c>
      <c r="B20" s="3" t="s">
        <v>435</v>
      </c>
    </row>
    <row r="21" spans="1:2" ht="76" customHeight="1">
      <c r="A21" s="1" t="s">
        <v>436</v>
      </c>
      <c r="B21" s="3" t="s">
        <v>437</v>
      </c>
    </row>
  </sheetData>
  <autoFilter ref="A1:B21"/>
  <hyperlinks>
    <hyperlink ref="B2" r:id="rId1"/>
    <hyperlink ref="B3" r:id="rId2"/>
    <hyperlink ref="B4" r:id="rId3"/>
    <hyperlink ref="B5" r:id="rId4"/>
    <hyperlink ref="B6" r:id="rId5"/>
    <hyperlink ref="B7" r:id="rId6"/>
    <hyperlink ref="B8" r:id="rId7"/>
    <hyperlink ref="B9" r:id="rId8"/>
    <hyperlink ref="B10" r:id="rId9"/>
    <hyperlink ref="B11" r:id="rId10"/>
    <hyperlink ref="B12" r:id="rId11"/>
    <hyperlink ref="B13" r:id="rId12"/>
    <hyperlink ref="B14" r:id="rId13"/>
    <hyperlink ref="B15" r:id="rId14"/>
    <hyperlink ref="B16" r:id="rId15"/>
    <hyperlink ref="B17" r:id="rId16"/>
    <hyperlink ref="B18" r:id="rId17"/>
    <hyperlink ref="B19" r:id="rId18"/>
    <hyperlink ref="B20" r:id="rId19"/>
    <hyperlink ref="B21" r:id="rId2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28.7109375" customWidth="1"/>
    <col min="2" max="4" width="24.7109375" customWidth="1"/>
  </cols>
  <sheetData>
    <row r="1" spans="1:4">
      <c r="A1" s="2" t="s">
        <v>438</v>
      </c>
      <c r="B1" s="2" t="s">
        <v>439</v>
      </c>
      <c r="C1" s="2" t="s">
        <v>440</v>
      </c>
      <c r="D1" s="2" t="s">
        <v>441</v>
      </c>
    </row>
    <row r="2" spans="1:4">
      <c r="A2" t="s">
        <v>442</v>
      </c>
      <c r="B2" s="4">
        <v>2</v>
      </c>
      <c r="C2" s="4">
        <v>179</v>
      </c>
      <c r="D2" s="5">
        <f>ROUNDUP(C2/B2*1000,0)</f>
        <v>89500</v>
      </c>
    </row>
    <row r="3" spans="1:4">
      <c r="A3" t="s">
        <v>442</v>
      </c>
      <c r="B3" s="4">
        <v>5</v>
      </c>
      <c r="C3" s="4">
        <v>179</v>
      </c>
      <c r="D3" s="5">
        <f>ROUNDUP(C3/B3*1000,0)</f>
        <v>35800</v>
      </c>
    </row>
    <row r="4" spans="1:4">
      <c r="A4" t="s">
        <v>442</v>
      </c>
      <c r="B4" s="4">
        <v>10</v>
      </c>
      <c r="C4" s="4">
        <v>179</v>
      </c>
      <c r="D4" s="5">
        <f>ROUNDUP(C4/B4*1000,0)</f>
        <v>17900</v>
      </c>
    </row>
    <row r="6" spans="1:4">
      <c r="A6" s="1" t="s">
        <v>443</v>
      </c>
      <c r="B6" s="1"/>
      <c r="C6" s="1"/>
      <c r="D6" s="1"/>
    </row>
    <row r="7" spans="1:4">
      <c r="A7" s="1"/>
      <c r="B7" s="1"/>
      <c r="C7" s="1"/>
      <c r="D7" s="1"/>
    </row>
    <row r="8" spans="1:4">
      <c r="A8" s="1"/>
      <c r="B8" s="1"/>
      <c r="C8" s="1"/>
      <c r="D8" s="1"/>
    </row>
  </sheetData>
  <mergeCells count="1">
    <mergeCell ref="A6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 first</vt:lpstr>
      <vt:lpstr>Backlog</vt:lpstr>
      <vt:lpstr>Phases</vt:lpstr>
      <vt:lpstr>Ad placement</vt:lpstr>
      <vt:lpstr>Metrics</vt:lpstr>
      <vt:lpstr>Sources</vt:lpstr>
      <vt:lpstr>Economics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2026-09-05T19:52:23Z</dcterms:created>
  <dcterms:modified xsi:type="dcterms:W3CDTF">2026-09-05T19:52:23Z</dcterms:modified>
</cp:coreProperties>
</file>